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2027" sheetId="1" state="visible" r:id="rId3"/>
    <sheet name="2026" sheetId="2" state="visible" r:id="rId4"/>
    <sheet name="2025" sheetId="3" state="visible" r:id="rId5"/>
    <sheet name="2024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<sst xmlns="http://schemas.openxmlformats.org/spreadsheetml/2006/main" count="2112" uniqueCount="82">
  <si>
    <t xml:space="preserve">"spans":["2027/1/1-2027/2/28"], "days":[]</t>
  </si>
  <si>
    <t xml:space="preserve">"spans":["2027/3/1-2027/3/8", "2027/6/1-2027/7/17", "2027/9/1-2027/10/9", "2027/11/9-2027/12/20"], "days":[]</t>
  </si>
  <si>
    <t xml:space="preserve">"spans":["2027/3/9-2027/5/31", "2027/7/18-2027/8/7", "2027/8/17-2027/8/31", "2027/10/10-2027/11/8", "2027/12/21-2027/12/31"], "days":[]</t>
  </si>
  <si>
    <t xml:space="preserve">"spans":["2027/8/8-2027/8/16"], "days":[]</t>
  </si>
  <si>
    <t xml:space="preserve">"spans":["2027/3/1-2027/3/31"], "days":[]</t>
  </si>
  <si>
    <t xml:space="preserve">"spans":["2027/4/1-2027/4/30", "2027/5/7-2027/5/24", "2027/5/30-2027/8/7", "2027/8/17-2027/8/31"], "days":[]</t>
  </si>
  <si>
    <t xml:space="preserve">"spans":["2027/5/1-2027/5/6", "2027/8/8-2027/8/16"], "days":[]</t>
  </si>
  <si>
    <t xml:space="preserve">"spans":["2027/9/1-2027/10/31"], "days":[]</t>
  </si>
  <si>
    <t xml:space="preserve">"spans":["2027/11/1-2027/11/30"], "days":[]</t>
  </si>
  <si>
    <t xml:space="preserve">"spans":["2027/1/2-2027/1/3"], "days":["2026/12/31"]</t>
  </si>
  <si>
    <t xml:space="preserve">"spans":[], "days":["2027/1/1"]</t>
  </si>
  <si>
    <t xml:space="preserve">"spans":["2027/1/4-2027/3/8", "2027/6/1-2027/7/17", "2027/9/1-2027/10/9", "2027/11/9-2027/12/20"], "days":[]</t>
  </si>
  <si>
    <t xml:space="preserve">"spans":["2027/3/9-2027/5/31", "2027/7/18-2027/8/31", "2027/10/10-2027/11/8", "2027/12/21-2027/12/30"], "days":[]</t>
  </si>
  <si>
    <t xml:space="preserve">"spans":["2026/12/31-2027/1/3"], "days":[]</t>
  </si>
  <si>
    <t xml:space="preserve">"spans":["2027/1/4-2027/2/28", "2027/6/1-2027/7/17", "2027/11/9-2027/12/20"], "days":[]</t>
  </si>
  <si>
    <t xml:space="preserve">"spans":["2027/4/1-2027/5/31", "2027/7/18-2027/8/31", "2027/11/1-2027/11/8", "2027/12/21-2027/12/30"], "days":[]</t>
  </si>
  <si>
    <t xml:space="preserve">"spans":["2027/3/1-2027/3/8", "2027/9/1-2027/10/9"], "days":[]</t>
  </si>
  <si>
    <t xml:space="preserve">"spans":["2027/3/9-2027/3/31", "2027/10/10-2027/10/31"], "days":[]</t>
  </si>
  <si>
    <t xml:space="preserve">来居欠航時</t>
  </si>
  <si>
    <t xml:space="preserve">フェリーおき</t>
  </si>
  <si>
    <t xml:space="preserve">到着時刻</t>
  </si>
  <si>
    <t xml:space="preserve">出発時刻</t>
  </si>
  <si>
    <t xml:space="preserve">フェリーしらしま</t>
  </si>
  <si>
    <t xml:space="preserve">フェリーくにが</t>
  </si>
  <si>
    <t xml:space="preserve">レインボージェット</t>
  </si>
  <si>
    <t xml:space="preserve">フェリーどうぜん</t>
  </si>
  <si>
    <t xml:space="preserve">いそかぜ</t>
  </si>
  <si>
    <t xml:space="preserve">七類</t>
  </si>
  <si>
    <t xml:space="preserve">西郷</t>
  </si>
  <si>
    <t xml:space="preserve">別府</t>
  </si>
  <si>
    <t xml:space="preserve">菱浦</t>
  </si>
  <si>
    <t xml:space="preserve">来居</t>
  </si>
  <si>
    <t xml:space="preserve">境港</t>
  </si>
  <si>
    <t xml:space="preserve">]},</t>
  </si>
  <si>
    <t xml:space="preserve">"spans":["2026/1/1-2026/2/28"], "days":[]</t>
  </si>
  <si>
    <t xml:space="preserve">"spans":["2026/3/1-2026/3/8", "2026/6/1-2026/8/7", "2026/8/17-2026/12/31"], "days":[]</t>
  </si>
  <si>
    <t xml:space="preserve">"spans":["2026/3/9-2026/5/31"], "days":[]</t>
  </si>
  <si>
    <t xml:space="preserve">"spans":["2026/8/8-2026/8/16"], "days":[]</t>
  </si>
  <si>
    <t xml:space="preserve">"spans":["2026/3/1-2026/3/31"], "days":[]</t>
  </si>
  <si>
    <t xml:space="preserve">"spans":["2026/4/1-2026/4/30", "2026/5/7-2026/5/24", "2026/5/30-2026/8/7", "2026/8/17-2026/8/31"], "days":[]</t>
  </si>
  <si>
    <t xml:space="preserve">"spans":["2026/5/1-2026/5/6", "2026/8/8-2026/8/16"], "days":[]</t>
  </si>
  <si>
    <t xml:space="preserve">"spans":["2026/9/1-2026/10/31"], "days":[]</t>
  </si>
  <si>
    <t xml:space="preserve">"spans":["2026/11/1-2026/11/30"], "days":[]</t>
  </si>
  <si>
    <t xml:space="preserve">"spans":["2026/1/2-2026/1/3"], "days":["2025/12/31"]</t>
  </si>
  <si>
    <t xml:space="preserve">"spans":[], "days":["2026/1/1"]</t>
  </si>
  <si>
    <t xml:space="preserve">"spans":["2026/1/4-2026/3/8", "2026/6/1-2026/7/17", "2026/9/1-2026/10/9", "2026/11/9-2026/12/20"], "days":[]</t>
  </si>
  <si>
    <t xml:space="preserve">"spans":["2026/3/9-2026/5/31", "2026/7/18-2026/8/31", "2026/10/10-2026/11/8", "2026/12/21-2026/12/30"], "days":[]</t>
  </si>
  <si>
    <t xml:space="preserve">"spans":["2025/12/31-2026/1/3"], "days":[]</t>
  </si>
  <si>
    <t xml:space="preserve">"spans":["2026/1/4-2026/2/28", "2026/6/1-2026/7/17", "2026/11/9-2026/12/20"], "days":[]</t>
  </si>
  <si>
    <t xml:space="preserve">"spans":["2026/4/1-2026/5/31", "2026/7/18-2026/8/31", "2026/11/1-2026/11/8", "2026/12/21-2026/12/30"], "days":[]</t>
  </si>
  <si>
    <t xml:space="preserve">"spans":["2026/3/1-2026/3/8", "2026/9/1-2026/10/9"], "days":[]</t>
  </si>
  <si>
    <t xml:space="preserve">"spans":["2026/3/9-2026/3/31", "2026/10/10-2026/10/31"], "days":[]</t>
  </si>
  <si>
    <t xml:space="preserve">"spans":["2025/1/1-2025/3/9", "2025/6/17-2025/7/18", "2025/9/1-2025/9/30", "2025/11/4-2025/12/20"], "days":[]</t>
  </si>
  <si>
    <t xml:space="preserve">"spans":["2025/3/10-2025/6/16", "2025/7/19-2025/8/8", "2025/8/18-2025/8/31", "2025/10/1-2025/11/3", "2025/12/21-2025/12/31"], "days":[]</t>
  </si>
  <si>
    <t xml:space="preserve">"spans":["2025/8/9-2025/8/17"], "days":[]</t>
  </si>
  <si>
    <t xml:space="preserve">"spans":["2025/3/1-2025/3/31"], "days":[]</t>
  </si>
  <si>
    <t xml:space="preserve">"spans":["2025/4/1-2025/4/25", "2025/5/7-2025/5/25", "2025/5/31-2025/8/8"], "days":[]</t>
  </si>
  <si>
    <t xml:space="preserve">"spans":["2025/4/26-2025/5/6", "2025/8/9-2025/8/17"], "days":[]</t>
  </si>
  <si>
    <t xml:space="preserve">"spans":["2025/8/18-2025/10/31"], "days":[]</t>
  </si>
  <si>
    <t xml:space="preserve">"spans":["2025/11/1-2025/11/30"], "days":[]</t>
  </si>
  <si>
    <t xml:space="preserve">"spans":["2025/1/2-2025/1/3"], "days":["2024/12/31"]</t>
  </si>
  <si>
    <t xml:space="preserve">"spans":[], "days":["2025/1/1"]</t>
  </si>
  <si>
    <t xml:space="preserve">"spans":["2025/1/4-2025/12/30"], "days":[]</t>
  </si>
  <si>
    <t xml:space="preserve">"spans":["2024/12/31-2025/1/3"], "days":[]</t>
  </si>
  <si>
    <t xml:space="preserve">"spans":["2025/1/4-2025/2/28", "2025/4/1-2025/8/17", "2025/11/1-2025/12/30"], "days":[]</t>
  </si>
  <si>
    <t xml:space="preserve">"spans":["2025/3/1-2025/3/31", "2025/8/18-2025/10/31"], "days":[]</t>
  </si>
  <si>
    <t xml:space="preserve">"spans":["2025/1/4-2025/2/28", "2025/4/1-2025/12/30"], "days":[]</t>
  </si>
  <si>
    <t xml:space="preserve">"spans":["2024/1/1-2024/3/10", "2024/11/30-2024/12/20"], "days":[]</t>
  </si>
  <si>
    <t xml:space="preserve">"spans":["2024/3/11-2024/8/9", "2024/8/18-2024/11/29", "2024/12/21-2024/12/31"], "days":[]</t>
  </si>
  <si>
    <t xml:space="preserve">"spans":["2024/8/10-2024/8/17"], "days":[]</t>
  </si>
  <si>
    <t xml:space="preserve">"spans":["2024/3/1-2024/3/31"], "days":[]</t>
  </si>
  <si>
    <t xml:space="preserve">"spans":["2024/4/1-2024/4/26"], "days":[]</t>
  </si>
  <si>
    <t xml:space="preserve">"spans":["2024/4/27-2024/5/26", "2024/6/1-2024/8/31"], "days":[]</t>
  </si>
  <si>
    <t xml:space="preserve">"spans":["2024/9/1-2024/10/31"], "days":[]</t>
  </si>
  <si>
    <t xml:space="preserve">"spans":["2024/11/1-2024/11/30"], "days":[]</t>
  </si>
  <si>
    <t xml:space="preserve">"spans":[], "days":["2023/12/31", "2024/1/2", "2024/1/3"]</t>
  </si>
  <si>
    <t xml:space="preserve">"spans":[], "days":["2024/1/1"]</t>
  </si>
  <si>
    <t xml:space="preserve">"spans":["2024/1/4-2024/12/30"], "days":[]</t>
  </si>
  <si>
    <t xml:space="preserve">"spans":["2023/12/31-2024/1/3"], "days":[]</t>
  </si>
  <si>
    <t xml:space="preserve">"spans":["2024/1/4-2024/2/29", "2024/4/1-2024/8/31", "2024/11/1-2024/12/30"], "days":[]</t>
  </si>
  <si>
    <t xml:space="preserve">"spans":["2024/3/1-2024/3/31", "2024/9/1-2024/10/31"], "days":[]</t>
  </si>
  <si>
    <t xml:space="preserve">"spans":["2024/1/4-2024/2/29", "2024/4/1-2024/12/30"], "days":[]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</si>
</sst>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:mm;@"/>
    <numFmt numFmtId="166" formatCode="0_ "/>
    <numFmt numFmtId="167" formatCode="h:mm"/>
  </numFmts>
  <fonts count="17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theme="1"/>
      <name val="游ゴシック"/>
      <family val="2"/>
      <charset val="128"/>
    </font>
    <font>
      <sz val="9"/>
      <color theme="1"/>
      <name val="游ゴシック"/>
      <family val="2"/>
      <charset val="1"/>
    </font>
    <font>
      <b val="true"/>
      <sz val="18"/>
      <color theme="1"/>
      <name val="游ゴシック"/>
      <family val="3"/>
      <charset val="128"/>
    </font>
    <font>
      <b val="true"/>
      <sz val="11"/>
      <name val="游ゴシック"/>
      <family val="3"/>
      <charset val="128"/>
    </font>
    <font>
      <b val="true"/>
      <sz val="11"/>
      <color rgb="FFCC66FF"/>
      <name val="游ゴシック"/>
      <family val="3"/>
      <charset val="128"/>
    </font>
    <font>
      <b val="true"/>
      <sz val="11"/>
      <color theme="4"/>
      <name val="游ゴシック"/>
      <family val="3"/>
      <charset val="128"/>
    </font>
    <font>
      <b val="true"/>
      <sz val="11"/>
      <color rgb="FFFF0000"/>
      <name val="游ゴシック"/>
      <family val="3"/>
      <charset val="128"/>
    </font>
    <font>
      <b val="true"/>
      <sz val="11"/>
      <color theme="1"/>
      <name val="游ゴシック"/>
      <family val="3"/>
      <charset val="128"/>
    </font>
    <font>
      <sz val="24"/>
      <color theme="1"/>
      <name val="Noto Serif JP"/>
      <family val="2"/>
      <charset val="128"/>
    </font>
    <font>
      <sz val="24"/>
      <color theme="1"/>
      <name val="Calibri"/>
      <family val="0"/>
      <charset val="128"/>
    </font>
    <font>
      <sz val="11"/>
      <color rgb="FFFF0000"/>
      <name val="游ゴシック"/>
      <family val="2"/>
      <charset val="1"/>
    </font>
    <font>
      <sz val="11"/>
      <color rgb="FFFF0000"/>
      <name val="游ゴシック"/>
      <family val="3"/>
      <charset val="128"/>
    </font>
    <font>
      <sz val="28"/>
      <color theme="1"/>
      <name val="Noto Serif JP"/>
      <family val="2"/>
      <charset val="128"/>
    </font>
  </fonts>
  <fills count="8">
    <fill>
      <patternFill patternType="none"/>
    </fill>
    <fill>
      <patternFill patternType="gray125"/>
    </fill>
    <fill>
      <patternFill patternType="solid">
        <fgColor theme="7"/>
        <bgColor rgb="FFFF9900"/>
      </patternFill>
    </fill>
    <fill>
      <patternFill patternType="solid">
        <fgColor theme="9"/>
        <bgColor rgb="FF339966"/>
      </patternFill>
    </fill>
    <fill>
      <patternFill patternType="solid">
        <fgColor theme="4"/>
        <bgColor rgb="FF80808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theme="1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1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 2" xfId="20"/>
  </cellStyles>
  <dxfs count="8">
    <dxf>
      <font>
        <color rgb="00FFFFFF"/>
      </font>
      <fill>
        <patternFill>
          <bgColor rgb="FFFF0000"/>
        </patternFill>
      </fill>
    </dxf>
    <dxf>
      <font>
        <color rgb="FFC00000"/>
      </font>
    </dxf>
    <dxf>
      <font>
        <color rgb="00FFFFFF"/>
      </font>
      <fill>
        <patternFill>
          <bgColor rgb="FFFF0000"/>
        </patternFill>
      </fill>
    </dxf>
    <dxf>
      <font>
        <color rgb="FFC00000"/>
      </font>
    </dxf>
    <dxf>
      <font>
        <color rgb="00FFFFFF"/>
      </font>
      <fill>
        <patternFill>
          <bgColor rgb="FFFF0000"/>
        </patternFill>
      </fill>
    </dxf>
    <dxf>
      <font>
        <color rgb="FFC00000"/>
      </font>
    </dxf>
    <dxf>
      <font>
        <color rgb="00FFFFFF"/>
      </font>
      <fill>
        <patternFill>
          <bgColor rgb="FFFF0000"/>
        </patternFill>
      </fill>
    </dxf>
    <dxf>
      <font>
        <color rgb="FFC000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66F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16</xdr:row>
      <xdr:rowOff>82080</xdr:rowOff>
    </xdr:from>
    <xdr:to>
      <xdr:col>12</xdr:col>
      <xdr:colOff>696960</xdr:colOff>
      <xdr:row>30</xdr:row>
      <xdr:rowOff>81720</xdr:rowOff>
    </xdr:to>
    <xdr:sp>
      <xdr:nvSpPr>
        <xdr:cNvPr id="1" name="テキスト ボックス 1"/>
        <xdr:cNvSpPr/>
      </xdr:nvSpPr>
      <xdr:spPr>
        <a:xfrm>
          <a:off x="2207880" y="5153040"/>
          <a:ext cx="8536680" cy="320004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重複範囲データを作らないこと</a:t>
          </a: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en-US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2026/12</a:t>
          </a: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に翌年の時刻表が出たら、再び列が増減しそう</a:t>
          </a: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en-US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2026/6</a:t>
          </a: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に減便が増えた。盆以外</a:t>
          </a:r>
          <a:r>
            <a:rPr lang="en-US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2</a:t>
          </a: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便。</a:t>
          </a:r>
          <a:endParaRPr lang="en-US" sz="2400" b="0" u="none" strike="noStrike">
            <a:effectLst/>
            <a:uFillTx/>
            <a:latin typeface="Noto Serif JP"/>
          </a:endParaRPr>
        </a:p>
      </xdr:txBody>
    </xdr:sp>
    <xdr:clientData/>
  </xdr:twoCellAnchor>
  <xdr:twoCellAnchor editAs="twoCell">
    <xdr:from>
      <xdr:col>0</xdr:col>
      <xdr:colOff>0</xdr:colOff>
      <xdr:row>1</xdr:row>
      <xdr:rowOff>357840</xdr:rowOff>
    </xdr:from>
    <xdr:to>
      <xdr:col>10</xdr:col>
      <xdr:colOff>66240</xdr:colOff>
      <xdr:row>3</xdr:row>
      <xdr:rowOff>167400</xdr:rowOff>
    </xdr:to>
    <xdr:sp>
      <xdr:nvSpPr>
        <xdr:cNvPr id="2" name="テキスト ボックス 2"/>
        <xdr:cNvSpPr/>
      </xdr:nvSpPr>
      <xdr:spPr>
        <a:xfrm>
          <a:off x="0" y="637920"/>
          <a:ext cx="8603280" cy="628560"/>
        </a:xfrm>
        <a:prstGeom prst="rect">
          <a:avLst/>
        </a:prstGeom>
        <a:solidFill>
          <a:srgbClr val="00b050">
            <a:alpha val="20000"/>
          </a:srgbClr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翌年分はこの</a:t>
          </a:r>
          <a:r>
            <a:rPr lang="en-US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2</a:t>
          </a: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件 次の時刻表が出たら、再び列が増減しそう</a:t>
          </a:r>
          <a:endParaRPr lang="en-US" sz="24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0</xdr:colOff>
      <xdr:row>16</xdr:row>
      <xdr:rowOff>82080</xdr:rowOff>
    </xdr:from>
    <xdr:to>
      <xdr:col>12</xdr:col>
      <xdr:colOff>696960</xdr:colOff>
      <xdr:row>30</xdr:row>
      <xdr:rowOff>81720</xdr:rowOff>
    </xdr:to>
    <xdr:sp>
      <xdr:nvSpPr>
        <xdr:cNvPr id="3" name="テキスト ボックス 1"/>
        <xdr:cNvSpPr/>
      </xdr:nvSpPr>
      <xdr:spPr>
        <a:xfrm>
          <a:off x="2207880" y="5153040"/>
          <a:ext cx="8536680" cy="320004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重複範囲データを作らないこと</a:t>
          </a: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レインボーダイヤ名称変更</a:t>
          </a: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・年度初め</a:t>
          </a:r>
          <a:r>
            <a:rPr lang="en-US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-&gt;</a:t>
          </a: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春初夏</a:t>
          </a: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・春夏</a:t>
          </a:r>
          <a:r>
            <a:rPr lang="en-US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-&gt;GW</a:t>
          </a: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夏休み</a:t>
          </a:r>
          <a:endParaRPr lang="en-US" sz="24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680400</xdr:colOff>
      <xdr:row>14</xdr:row>
      <xdr:rowOff>82080</xdr:rowOff>
    </xdr:from>
    <xdr:to>
      <xdr:col>13</xdr:col>
      <xdr:colOff>1866240</xdr:colOff>
      <xdr:row>26</xdr:row>
      <xdr:rowOff>81720</xdr:rowOff>
    </xdr:to>
    <xdr:sp>
      <xdr:nvSpPr>
        <xdr:cNvPr id="4" name="テキスト ボックス 1"/>
        <xdr:cNvSpPr/>
      </xdr:nvSpPr>
      <xdr:spPr>
        <a:xfrm>
          <a:off x="2067120" y="4695840"/>
          <a:ext cx="9955440" cy="274284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重複範囲データを作らないこと</a:t>
          </a: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レインボーダイヤ名称変更</a:t>
          </a: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・年度初め</a:t>
          </a:r>
          <a:r>
            <a:rPr lang="en-US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-&gt;</a:t>
          </a: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春初夏</a:t>
          </a:r>
          <a:endParaRPr lang="en-US" sz="24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・春夏</a:t>
          </a:r>
          <a:r>
            <a:rPr lang="en-US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-&gt;GW</a:t>
          </a:r>
          <a:r>
            <a:rPr lang="ja-JP" sz="2400" b="0" u="none" strike="noStrike">
              <a:solidFill>
                <a:schemeClr val="dk1"/>
              </a:solidFill>
              <a:effectLst/>
              <a:uFillTx/>
              <a:latin typeface="Calibri"/>
            </a:rPr>
            <a:t>夏休み</a:t>
          </a:r>
          <a:endParaRPr lang="en-US" sz="24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680400</xdr:colOff>
      <xdr:row>14</xdr:row>
      <xdr:rowOff>82080</xdr:rowOff>
    </xdr:from>
    <xdr:to>
      <xdr:col>13</xdr:col>
      <xdr:colOff>1866240</xdr:colOff>
      <xdr:row>23</xdr:row>
      <xdr:rowOff>81720</xdr:rowOff>
    </xdr:to>
    <xdr:sp>
      <xdr:nvSpPr>
        <xdr:cNvPr id="5" name="テキスト ボックス 1"/>
        <xdr:cNvSpPr/>
      </xdr:nvSpPr>
      <xdr:spPr>
        <a:xfrm>
          <a:off x="2067120" y="4695840"/>
          <a:ext cx="9955440" cy="2057040"/>
        </a:xfrm>
        <a:prstGeom prst="rect">
          <a:avLst/>
        </a:prstGeom>
        <a:solidFill>
          <a:srgbClr val="ffffff"/>
        </a:solidFill>
        <a:ln w="9525">
          <a:solidFill>
            <a:srgbClr val="ffffff">
              <a:shade val="50000"/>
            </a:srgbClr>
          </a:solidFill>
          <a:round/>
        </a:ln>
      </xdr:spPr>
      <xdr:style>
        <a:lnRef idx="0"/>
        <a:fillRef idx="0"/>
        <a:effectRef idx="0"/>
        <a:fontRef idx="minor"/>
      </xdr:style>
      <xdr:txBody>
        <a:bodyPr horzOverflow="clip" vertOverflow="clip"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lang="ja-JP" sz="2800" b="0" u="none" strike="noStrike">
              <a:solidFill>
                <a:schemeClr val="dk1"/>
              </a:solidFill>
              <a:effectLst/>
              <a:uFillTx/>
              <a:latin typeface="Calibri"/>
            </a:rPr>
            <a:t>重複範囲データを作らないこと</a:t>
          </a:r>
          <a:endParaRPr lang="en-US" sz="28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8CBAD"/>
    <pageSetUpPr fitToPage="false"/>
  </sheetPr>
  <dimension ref="A1:ER5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M7" activeCellId="0" sqref="M7"/>
    </sheetView>
  </sheetViews>
  <sheetFormatPr defaultColWidth="5.6015625" defaultRowHeight="18" customHeight="false" zeroHeight="false" outlineLevelRow="0" outlineLevelCol="0"/>
  <cols>
    <col collapsed="false" customWidth="true" hidden="false" outlineLevel="0" max="1" min="1" style="1" width="10.5"/>
    <col collapsed="false" customWidth="true" hidden="false" outlineLevel="0" max="3" min="2" style="1" width="9"/>
    <col collapsed="false" customWidth="true" hidden="false" outlineLevel="0" max="4" min="4" style="1" width="24.1"/>
    <col collapsed="false" customWidth="true" hidden="false" outlineLevel="0" max="5" min="5" style="2" width="4.5"/>
    <col collapsed="false" customWidth="true" hidden="false" outlineLevel="0" max="6" min="6" style="1" width="6.5"/>
    <col collapsed="false" customWidth="true" hidden="false" outlineLevel="0" max="8" min="7" style="1" width="9"/>
    <col collapsed="false" customWidth="true" hidden="false" outlineLevel="0" max="9" min="9" style="1" width="24.1"/>
    <col collapsed="false" customWidth="true" hidden="false" outlineLevel="0" max="10" min="10" style="2" width="4.5"/>
    <col collapsed="false" customWidth="true" hidden="false" outlineLevel="0" max="11" min="11" style="1" width="10.5"/>
    <col collapsed="false" customWidth="true" hidden="false" outlineLevel="0" max="13" min="12" style="1" width="9"/>
    <col collapsed="false" customWidth="true" hidden="false" outlineLevel="0" max="14" min="14" style="1" width="24.1"/>
    <col collapsed="false" customWidth="true" hidden="false" outlineLevel="0" max="15" min="15" style="2" width="4.5"/>
    <col collapsed="false" customWidth="true" hidden="false" outlineLevel="0" max="16" min="16" style="1" width="6.5"/>
    <col collapsed="false" customWidth="true" hidden="false" outlineLevel="0" max="18" min="17" style="1" width="9"/>
    <col collapsed="false" customWidth="true" hidden="false" outlineLevel="0" max="19" min="19" style="1" width="24.1"/>
    <col collapsed="false" customWidth="true" hidden="false" outlineLevel="0" max="20" min="20" style="2" width="4.5"/>
    <col collapsed="false" customWidth="true" hidden="false" outlineLevel="0" max="21" min="21" style="1" width="5.5"/>
    <col collapsed="false" customWidth="true" hidden="false" outlineLevel="0" max="23" min="22" style="1" width="9"/>
    <col collapsed="false" customWidth="true" hidden="false" outlineLevel="0" max="24" min="24" style="1" width="24.1"/>
    <col collapsed="false" customWidth="true" hidden="false" outlineLevel="0" max="25" min="25" style="2" width="4.5"/>
    <col collapsed="false" customWidth="true" hidden="false" outlineLevel="0" max="26" min="26" style="1" width="5.5"/>
    <col collapsed="false" customWidth="true" hidden="false" outlineLevel="0" max="28" min="27" style="1" width="9"/>
    <col collapsed="false" customWidth="true" hidden="false" outlineLevel="0" max="29" min="29" style="1" width="24.1"/>
    <col collapsed="false" customWidth="true" hidden="false" outlineLevel="0" max="30" min="30" style="2" width="4.5"/>
    <col collapsed="false" customWidth="true" hidden="false" outlineLevel="0" max="31" min="31" style="1" width="5.5"/>
    <col collapsed="false" customWidth="true" hidden="false" outlineLevel="0" max="33" min="32" style="1" width="9"/>
    <col collapsed="false" customWidth="true" hidden="false" outlineLevel="0" max="34" min="34" style="1" width="24.1"/>
    <col collapsed="false" customWidth="true" hidden="false" outlineLevel="0" max="35" min="35" style="2" width="4.5"/>
    <col collapsed="false" customWidth="true" hidden="false" outlineLevel="0" max="36" min="36" style="1" width="5.5"/>
    <col collapsed="false" customWidth="true" hidden="false" outlineLevel="0" max="38" min="37" style="1" width="9"/>
    <col collapsed="false" customWidth="true" hidden="false" outlineLevel="0" max="39" min="39" style="1" width="24.1"/>
    <col collapsed="false" customWidth="true" hidden="false" outlineLevel="0" max="40" min="40" style="2" width="4.5"/>
    <col collapsed="false" customWidth="true" hidden="false" outlineLevel="0" max="41" min="41" style="1" width="5.5"/>
    <col collapsed="false" customWidth="true" hidden="false" outlineLevel="0" max="43" min="42" style="1" width="9"/>
    <col collapsed="false" customWidth="true" hidden="false" outlineLevel="0" max="44" min="44" style="1" width="24.1"/>
    <col collapsed="false" customWidth="true" hidden="false" outlineLevel="0" max="45" min="45" style="2" width="4.5"/>
    <col collapsed="false" customWidth="true" hidden="false" outlineLevel="0" max="46" min="46" style="1" width="5.5"/>
    <col collapsed="false" customWidth="true" hidden="false" outlineLevel="0" max="48" min="47" style="1" width="9"/>
    <col collapsed="false" customWidth="true" hidden="false" outlineLevel="0" max="49" min="49" style="1" width="24.1"/>
    <col collapsed="false" customWidth="true" hidden="false" outlineLevel="0" max="50" min="50" style="2" width="4.5"/>
    <col collapsed="false" customWidth="true" hidden="false" outlineLevel="0" max="51" min="51" style="3" width="3.6"/>
    <col collapsed="false" customWidth="true" hidden="false" outlineLevel="0" max="52" min="52" style="1" width="5.5"/>
    <col collapsed="false" customWidth="true" hidden="false" outlineLevel="0" max="54" min="53" style="1" width="9"/>
    <col collapsed="false" customWidth="true" hidden="false" outlineLevel="0" max="55" min="55" style="1" width="24.2"/>
    <col collapsed="false" customWidth="true" hidden="false" outlineLevel="0" max="56" min="56" style="2" width="4.5"/>
    <col collapsed="false" customWidth="true" hidden="false" outlineLevel="0" max="57" min="57" style="1" width="5.5"/>
    <col collapsed="false" customWidth="true" hidden="false" outlineLevel="0" max="59" min="58" style="1" width="9"/>
    <col collapsed="false" customWidth="true" hidden="false" outlineLevel="0" max="60" min="60" style="1" width="24.1"/>
    <col collapsed="false" customWidth="true" hidden="false" outlineLevel="0" max="61" min="61" style="2" width="4.5"/>
    <col collapsed="false" customWidth="true" hidden="false" outlineLevel="0" max="62" min="62" style="1" width="5.5"/>
    <col collapsed="false" customWidth="true" hidden="false" outlineLevel="0" max="64" min="63" style="1" width="9"/>
    <col collapsed="false" customWidth="true" hidden="false" outlineLevel="0" max="65" min="65" style="1" width="24.1"/>
    <col collapsed="false" customWidth="true" hidden="false" outlineLevel="0" max="66" min="66" style="2" width="4.5"/>
    <col collapsed="false" customWidth="true" hidden="false" outlineLevel="0" max="67" min="67" style="1" width="5.5"/>
    <col collapsed="false" customWidth="true" hidden="false" outlineLevel="0" max="69" min="68" style="1" width="9"/>
    <col collapsed="false" customWidth="true" hidden="false" outlineLevel="0" max="70" min="70" style="1" width="24.1"/>
    <col collapsed="false" customWidth="true" hidden="false" outlineLevel="0" max="71" min="71" style="2" width="4.5"/>
    <col collapsed="false" customWidth="true" hidden="false" outlineLevel="0" max="72" min="72" style="1" width="5.5"/>
    <col collapsed="false" customWidth="true" hidden="false" outlineLevel="0" max="74" min="73" style="1" width="9"/>
    <col collapsed="false" customWidth="true" hidden="false" outlineLevel="0" max="75" min="75" style="1" width="24.1"/>
    <col collapsed="false" customWidth="true" hidden="false" outlineLevel="0" max="76" min="76" style="2" width="4.5"/>
    <col collapsed="false" customWidth="true" hidden="false" outlineLevel="0" max="77" min="77" style="4" width="3.6"/>
    <col collapsed="false" customWidth="true" hidden="false" outlineLevel="0" max="78" min="78" style="1" width="5.5"/>
    <col collapsed="false" customWidth="true" hidden="false" outlineLevel="0" max="80" min="79" style="1" width="9"/>
    <col collapsed="false" customWidth="true" hidden="false" outlineLevel="0" max="81" min="81" style="1" width="24.1"/>
    <col collapsed="false" customWidth="true" hidden="false" outlineLevel="0" max="82" min="82" style="2" width="4.5"/>
    <col collapsed="false" customWidth="true" hidden="false" outlineLevel="0" max="83" min="83" style="1" width="5.5"/>
    <col collapsed="false" customWidth="true" hidden="false" outlineLevel="0" max="85" min="84" style="1" width="9"/>
    <col collapsed="false" customWidth="true" hidden="false" outlineLevel="0" max="86" min="86" style="1" width="24.1"/>
    <col collapsed="false" customWidth="true" hidden="false" outlineLevel="0" max="87" min="87" style="2" width="4.5"/>
    <col collapsed="false" customWidth="true" hidden="false" outlineLevel="0" max="88" min="88" style="1" width="7.7"/>
    <col collapsed="false" customWidth="true" hidden="false" outlineLevel="0" max="90" min="89" style="1" width="9"/>
    <col collapsed="false" customWidth="true" hidden="false" outlineLevel="0" max="91" min="91" style="1" width="24.1"/>
    <col collapsed="false" customWidth="true" hidden="false" outlineLevel="0" max="92" min="92" style="2" width="4.5"/>
    <col collapsed="false" customWidth="true" hidden="false" outlineLevel="0" max="93" min="93" style="1" width="7.7"/>
    <col collapsed="false" customWidth="true" hidden="false" outlineLevel="0" max="95" min="94" style="1" width="9"/>
    <col collapsed="false" customWidth="true" hidden="false" outlineLevel="0" max="96" min="96" style="1" width="24.1"/>
    <col collapsed="false" customWidth="true" hidden="false" outlineLevel="0" max="97" min="97" style="2" width="4.5"/>
    <col collapsed="false" customWidth="true" hidden="false" outlineLevel="0" max="98" min="98" style="5" width="3.6"/>
    <col collapsed="false" customWidth="true" hidden="false" outlineLevel="0" max="99" min="99" style="1" width="5.5"/>
    <col collapsed="false" customWidth="true" hidden="false" outlineLevel="0" max="101" min="100" style="1" width="9"/>
    <col collapsed="false" customWidth="true" hidden="false" outlineLevel="0" max="102" min="102" style="1" width="24.1"/>
    <col collapsed="false" customWidth="true" hidden="false" outlineLevel="0" max="103" min="103" style="2" width="4.5"/>
    <col collapsed="false" customWidth="true" hidden="false" outlineLevel="0" max="104" min="104" style="1" width="7.79"/>
    <col collapsed="false" customWidth="true" hidden="false" outlineLevel="0" max="106" min="105" style="1" width="9"/>
    <col collapsed="false" customWidth="true" hidden="false" outlineLevel="0" max="107" min="107" style="1" width="24.2"/>
    <col collapsed="false" customWidth="true" hidden="false" outlineLevel="0" max="108" min="108" style="2" width="3.6"/>
    <col collapsed="false" customWidth="true" hidden="false" outlineLevel="0" max="109" min="109" style="1" width="7.79"/>
    <col collapsed="false" customWidth="true" hidden="false" outlineLevel="0" max="111" min="110" style="1" width="9"/>
    <col collapsed="false" customWidth="true" hidden="false" outlineLevel="0" max="112" min="112" style="1" width="24.2"/>
    <col collapsed="false" customWidth="true" hidden="false" outlineLevel="0" max="113" min="113" style="2" width="3.6"/>
    <col collapsed="false" customWidth="true" hidden="false" outlineLevel="0" max="114" min="114" style="1" width="8.69"/>
    <col collapsed="false" customWidth="true" hidden="false" outlineLevel="0" max="116" min="115" style="1" width="9"/>
    <col collapsed="false" customWidth="true" hidden="false" outlineLevel="0" max="117" min="117" style="1" width="24.1"/>
    <col collapsed="false" customWidth="true" hidden="false" outlineLevel="0" max="118" min="118" style="6" width="3.6"/>
    <col collapsed="false" customWidth="true" hidden="false" outlineLevel="0" max="119" min="119" style="1" width="8.69"/>
    <col collapsed="false" customWidth="true" hidden="false" outlineLevel="0" max="121" min="120" style="1" width="9"/>
    <col collapsed="false" customWidth="true" hidden="false" outlineLevel="0" max="122" min="122" style="1" width="24.1"/>
    <col collapsed="false" customWidth="true" hidden="false" outlineLevel="0" max="123" min="123" style="6" width="3.6"/>
    <col collapsed="false" customWidth="true" hidden="false" outlineLevel="0" max="124" min="124" style="1" width="5.5"/>
    <col collapsed="false" customWidth="true" hidden="false" outlineLevel="0" max="126" min="125" style="1" width="9"/>
    <col collapsed="false" customWidth="true" hidden="false" outlineLevel="0" max="127" min="127" style="1" width="24.1"/>
    <col collapsed="false" customWidth="true" hidden="false" outlineLevel="0" max="128" min="128" style="2" width="4.5"/>
    <col collapsed="false" customWidth="true" hidden="false" outlineLevel="0" max="129" min="129" style="1" width="8.69"/>
    <col collapsed="false" customWidth="true" hidden="false" outlineLevel="0" max="131" min="130" style="1" width="9"/>
    <col collapsed="false" customWidth="true" hidden="false" outlineLevel="0" max="132" min="132" style="1" width="24.2"/>
    <col collapsed="false" customWidth="true" hidden="false" outlineLevel="0" max="133" min="133" style="2" width="3.6"/>
    <col collapsed="false" customWidth="true" hidden="false" outlineLevel="0" max="134" min="134" style="1" width="8.69"/>
    <col collapsed="false" customWidth="true" hidden="false" outlineLevel="0" max="136" min="135" style="1" width="9"/>
    <col collapsed="false" customWidth="true" hidden="false" outlineLevel="0" max="137" min="137" style="1" width="24.2"/>
    <col collapsed="false" customWidth="true" hidden="false" outlineLevel="0" max="138" min="138" style="2" width="3.6"/>
    <col collapsed="false" customWidth="true" hidden="false" outlineLevel="0" max="139" min="139" style="1" width="8.69"/>
    <col collapsed="false" customWidth="true" hidden="false" outlineLevel="0" max="141" min="140" style="1" width="9"/>
    <col collapsed="false" customWidth="true" hidden="false" outlineLevel="0" max="142" min="142" style="1" width="24.2"/>
    <col collapsed="false" customWidth="true" hidden="false" outlineLevel="0" max="143" min="143" style="2" width="3.6"/>
    <col collapsed="false" customWidth="true" hidden="false" outlineLevel="0" max="144" min="144" style="1" width="8.69"/>
    <col collapsed="false" customWidth="true" hidden="false" outlineLevel="0" max="146" min="145" style="1" width="9"/>
    <col collapsed="false" customWidth="true" hidden="false" outlineLevel="0" max="147" min="147" style="1" width="24.2"/>
    <col collapsed="false" customWidth="true" hidden="false" outlineLevel="0" max="148" min="148" style="2" width="3.6"/>
    <col collapsed="false" customWidth="false" hidden="false" outlineLevel="0" max="16384" min="149" style="1" width="5.6"/>
  </cols>
  <sheetData>
    <row r="1" customFormat="false" ht="22.05" hidden="false" customHeight="false" outlineLevel="0" collapsed="false">
      <c r="A1" s="7" t="n">
        <v>2027</v>
      </c>
    </row>
    <row r="2" s="8" customFormat="true" ht="45.75" hidden="false" customHeight="true" outlineLevel="0" collapsed="false">
      <c r="A2" s="8" t="str">
        <f aca="false">$A$1&amp;"厳冬、初冬入渠、減便"</f>
        <v>2027厳冬、初冬入渠、減便</v>
      </c>
      <c r="B2" s="9" t="s">
        <v>0</v>
      </c>
      <c r="C2" s="9"/>
      <c r="D2" s="9"/>
      <c r="E2" s="10" t="str">
        <f aca="false">IF(B2=G2, "=", "")</f>
        <v>=</v>
      </c>
      <c r="F2" s="8" t="str">
        <f aca="false">$A$1&amp;"厳冬、初冬入渠、減便"</f>
        <v>2027厳冬、初冬入渠、減便</v>
      </c>
      <c r="G2" s="9" t="s">
        <v>0</v>
      </c>
      <c r="H2" s="9"/>
      <c r="I2" s="9"/>
      <c r="J2" s="10" t="str">
        <f aca="false">IF(G2=L2, "=", "")</f>
        <v/>
      </c>
      <c r="K2" s="8" t="str">
        <f aca="false">$A$1&amp;"厳冬、初冬入渠、減便"</f>
        <v>2027厳冬、初冬入渠、減便</v>
      </c>
      <c r="L2" s="9" t="s">
        <v>1</v>
      </c>
      <c r="M2" s="9"/>
      <c r="N2" s="9"/>
      <c r="O2" s="10" t="str">
        <f aca="false">IF(L2=Q2, "=", "")</f>
        <v>=</v>
      </c>
      <c r="P2" s="8" t="str">
        <f aca="false">$A$1&amp;"厳冬、初冬入渠、減便"</f>
        <v>2027厳冬、初冬入渠、減便</v>
      </c>
      <c r="Q2" s="9" t="s">
        <v>1</v>
      </c>
      <c r="R2" s="9"/>
      <c r="S2" s="9"/>
      <c r="T2" s="10" t="str">
        <f aca="false">IF(Q2=V2, "=", "")</f>
        <v/>
      </c>
      <c r="U2" s="8" t="str">
        <f aca="false">$A$1&amp;"通常"</f>
        <v>2027通常</v>
      </c>
      <c r="V2" s="9" t="s">
        <v>2</v>
      </c>
      <c r="W2" s="9"/>
      <c r="X2" s="9"/>
      <c r="Y2" s="10" t="str">
        <f aca="false">IF(V2=AA2, "=", "")</f>
        <v>=</v>
      </c>
      <c r="Z2" s="8" t="str">
        <f aca="false">$A$1&amp;"通常"</f>
        <v>2027通常</v>
      </c>
      <c r="AA2" s="9" t="s">
        <v>2</v>
      </c>
      <c r="AB2" s="9"/>
      <c r="AC2" s="9"/>
      <c r="AD2" s="10" t="str">
        <f aca="false">IF(AA2=AF2, "=", "")</f>
        <v>=</v>
      </c>
      <c r="AE2" s="8" t="str">
        <f aca="false">$A$1&amp;"通常"</f>
        <v>2027通常</v>
      </c>
      <c r="AF2" s="9" t="s">
        <v>2</v>
      </c>
      <c r="AG2" s="9"/>
      <c r="AH2" s="9"/>
      <c r="AI2" s="10" t="str">
        <f aca="false">IF(AF2=AK2, "=", "")</f>
        <v/>
      </c>
      <c r="AJ2" s="8" t="str">
        <f aca="false">$A$1&amp;"盆"</f>
        <v>2027盆</v>
      </c>
      <c r="AK2" s="9" t="s">
        <v>3</v>
      </c>
      <c r="AL2" s="9"/>
      <c r="AM2" s="9"/>
      <c r="AN2" s="10" t="str">
        <f aca="false">IF(AK2=AP2, "=", "")</f>
        <v>=</v>
      </c>
      <c r="AO2" s="8" t="str">
        <f aca="false">$A$1&amp;"盆"</f>
        <v>2027盆</v>
      </c>
      <c r="AP2" s="9" t="s">
        <v>3</v>
      </c>
      <c r="AQ2" s="9"/>
      <c r="AR2" s="9"/>
      <c r="AS2" s="10" t="str">
        <f aca="false">IF(AP2=AU2, "=", "")</f>
        <v>=</v>
      </c>
      <c r="AT2" s="8" t="str">
        <f aca="false">$A$1&amp;"盆"</f>
        <v>2027盆</v>
      </c>
      <c r="AU2" s="9" t="s">
        <v>3</v>
      </c>
      <c r="AV2" s="9"/>
      <c r="AW2" s="9"/>
      <c r="AX2" s="10"/>
      <c r="AY2" s="11"/>
      <c r="AZ2" s="8" t="str">
        <f aca="false">$A$1&amp;"年度末"</f>
        <v>2027年度末</v>
      </c>
      <c r="BA2" s="9" t="s">
        <v>4</v>
      </c>
      <c r="BB2" s="9"/>
      <c r="BC2" s="9"/>
      <c r="BD2" s="10" t="str">
        <f aca="false">IF(BA2=BF2, "=", "")</f>
        <v/>
      </c>
      <c r="BE2" s="8" t="str">
        <f aca="false">$A$1&amp;"春初夏"</f>
        <v>2027春初夏</v>
      </c>
      <c r="BF2" s="9" t="s">
        <v>5</v>
      </c>
      <c r="BG2" s="9"/>
      <c r="BH2" s="9"/>
      <c r="BI2" s="10" t="str">
        <f aca="false">IF(BF2=BK2, "=", "")</f>
        <v/>
      </c>
      <c r="BJ2" s="8" t="str">
        <f aca="false">$A$1&amp;"GW夏休み"</f>
        <v>2027GW夏休み</v>
      </c>
      <c r="BK2" s="9" t="s">
        <v>6</v>
      </c>
      <c r="BL2" s="9"/>
      <c r="BM2" s="9"/>
      <c r="BN2" s="10" t="str">
        <f aca="false">IF(BK2=BP2, "=", "")</f>
        <v/>
      </c>
      <c r="BO2" s="8" t="str">
        <f aca="false">$A$1&amp;"秋"</f>
        <v>2027秋</v>
      </c>
      <c r="BP2" s="9" t="s">
        <v>7</v>
      </c>
      <c r="BQ2" s="9"/>
      <c r="BR2" s="9"/>
      <c r="BS2" s="10" t="str">
        <f aca="false">IF(BP2=BU2, "=", "")</f>
        <v/>
      </c>
      <c r="BT2" s="8" t="str">
        <f aca="false">$A$1&amp;"初冬"</f>
        <v>2027初冬</v>
      </c>
      <c r="BU2" s="9" t="s">
        <v>8</v>
      </c>
      <c r="BV2" s="9"/>
      <c r="BW2" s="9"/>
      <c r="BX2" s="10"/>
      <c r="BY2" s="12"/>
      <c r="BZ2" s="8" t="str">
        <f aca="false">$A$1&amp;"年末年始"</f>
        <v>2027年末年始</v>
      </c>
      <c r="CA2" s="9" t="s">
        <v>9</v>
      </c>
      <c r="CB2" s="9"/>
      <c r="CC2" s="9"/>
      <c r="CD2" s="10" t="str">
        <f aca="false">IF(CA2=CF2, "=", "")</f>
        <v/>
      </c>
      <c r="CE2" s="8" t="str">
        <f aca="false">$A$1&amp;"元日"</f>
        <v>2027元日</v>
      </c>
      <c r="CF2" s="9" t="s">
        <v>10</v>
      </c>
      <c r="CG2" s="9"/>
      <c r="CH2" s="9"/>
      <c r="CI2" s="10" t="str">
        <f aca="false">IF(CF2=CK2, "=", "")</f>
        <v/>
      </c>
      <c r="CJ2" s="8" t="str">
        <f aca="false">$A$1&amp;"通常、汽船２隻"</f>
        <v>2027通常、汽船２隻</v>
      </c>
      <c r="CK2" s="9" t="s">
        <v>11</v>
      </c>
      <c r="CL2" s="9"/>
      <c r="CM2" s="9"/>
      <c r="CN2" s="10" t="str">
        <f aca="false">IF(CK2=CP2, "=", "")</f>
        <v/>
      </c>
      <c r="CO2" s="8" t="str">
        <f aca="false">$A$1&amp;"通常、汽船３隻"</f>
        <v>2027通常、汽船３隻</v>
      </c>
      <c r="CP2" s="9" t="s">
        <v>12</v>
      </c>
      <c r="CQ2" s="9"/>
      <c r="CR2" s="9"/>
      <c r="CS2" s="10"/>
      <c r="CT2" s="13"/>
      <c r="CU2" s="8" t="str">
        <f aca="false">$A$1&amp;"年末年始"</f>
        <v>2027年末年始</v>
      </c>
      <c r="CV2" s="9" t="s">
        <v>13</v>
      </c>
      <c r="CW2" s="9"/>
      <c r="CX2" s="9"/>
      <c r="CY2" s="10" t="str">
        <f aca="false">IF(CV2=DA2, "=", "")</f>
        <v/>
      </c>
      <c r="CZ2" s="8" t="str">
        <f aca="false">$A$1&amp;"通常、汽船２隻"</f>
        <v>2027通常、汽船２隻</v>
      </c>
      <c r="DA2" s="9" t="s">
        <v>14</v>
      </c>
      <c r="DB2" s="9"/>
      <c r="DC2" s="9"/>
      <c r="DD2" s="10" t="str">
        <f aca="false">IF(DA2=DF2, "=", "")</f>
        <v/>
      </c>
      <c r="DE2" s="8" t="str">
        <f aca="false">$A$1&amp;"通常、汽船３隻"</f>
        <v>2027通常、汽船３隻</v>
      </c>
      <c r="DF2" s="9" t="s">
        <v>15</v>
      </c>
      <c r="DG2" s="9"/>
      <c r="DH2" s="9"/>
      <c r="DI2" s="10" t="str">
        <f aca="false">IF(DF2=DK2, "=", "")</f>
        <v/>
      </c>
      <c r="DJ2" s="8" t="str">
        <f aca="false">$A$1&amp;"一部変更、汽船２隻"</f>
        <v>2027一部変更、汽船２隻</v>
      </c>
      <c r="DK2" s="9" t="s">
        <v>16</v>
      </c>
      <c r="DL2" s="9"/>
      <c r="DM2" s="9"/>
      <c r="DN2" s="10" t="str">
        <f aca="false">IF(DK2=DP2, "=", "")</f>
        <v/>
      </c>
      <c r="DO2" s="8" t="str">
        <f aca="false">$A$1&amp;"一部変更、汽船３隻"</f>
        <v>2027一部変更、汽船３隻</v>
      </c>
      <c r="DP2" s="9" t="s">
        <v>17</v>
      </c>
      <c r="DQ2" s="9"/>
      <c r="DR2" s="9"/>
      <c r="DS2" s="10" t="str">
        <f aca="false">IF(DP2=DU2, "=", "")</f>
        <v/>
      </c>
      <c r="DT2" s="8" t="str">
        <f aca="false">$A$1&amp;"年末年始"</f>
        <v>2027年末年始</v>
      </c>
      <c r="DU2" s="9" t="s">
        <v>13</v>
      </c>
      <c r="DV2" s="9"/>
      <c r="DW2" s="9"/>
      <c r="DX2" s="10" t="str">
        <f aca="false">IF(DU2=DZ2, "=", "")</f>
        <v/>
      </c>
      <c r="DY2" s="8" t="str">
        <f aca="false">$A$1&amp;"通常、汽船２隻"</f>
        <v>2027通常、汽船２隻</v>
      </c>
      <c r="DZ2" s="9" t="s">
        <v>14</v>
      </c>
      <c r="EA2" s="9"/>
      <c r="EB2" s="9"/>
      <c r="EC2" s="10" t="str">
        <f aca="false">IF(DZ2=EE2, "=", "")</f>
        <v/>
      </c>
      <c r="ED2" s="8" t="str">
        <f aca="false">$A$1&amp;"通常、汽船３隻"</f>
        <v>2027通常、汽船３隻</v>
      </c>
      <c r="EE2" s="9" t="s">
        <v>15</v>
      </c>
      <c r="EF2" s="9"/>
      <c r="EG2" s="9"/>
      <c r="EH2" s="10" t="str">
        <f aca="false">IF(EE2=EJ2, "=", "")</f>
        <v/>
      </c>
      <c r="EI2" s="8" t="str">
        <f aca="false">$A$1&amp;"一部変更、汽船２隻"</f>
        <v>2027一部変更、汽船２隻</v>
      </c>
      <c r="EJ2" s="9" t="s">
        <v>16</v>
      </c>
      <c r="EK2" s="9"/>
      <c r="EL2" s="9"/>
      <c r="EM2" s="10" t="str">
        <f aca="false">IF(EJ2=EO2, "=", "")</f>
        <v/>
      </c>
      <c r="EN2" s="8" t="str">
        <f aca="false">$A$1&amp;"一部変更、汽船３隻"</f>
        <v>2027一部変更、汽船３隻</v>
      </c>
      <c r="EO2" s="9" t="s">
        <v>17</v>
      </c>
      <c r="EP2" s="9"/>
      <c r="EQ2" s="9"/>
      <c r="ER2" s="10"/>
    </row>
    <row r="3" s="8" customFormat="true" ht="18.75" hidden="false" customHeight="true" outlineLevel="0" collapsed="false">
      <c r="A3" s="14"/>
      <c r="B3" s="14"/>
      <c r="C3" s="14" t="str">
        <f aca="false">IF(A3="", "", ", ""rinji"":"""&amp;A3&amp;"""")</f>
        <v/>
      </c>
      <c r="D3" s="14"/>
      <c r="E3" s="10"/>
      <c r="F3" s="14"/>
      <c r="G3" s="14"/>
      <c r="H3" s="14" t="str">
        <f aca="false">IF(F3="", "", ", ""rinji"":"""&amp;F3&amp;"""")</f>
        <v/>
      </c>
      <c r="I3" s="14"/>
      <c r="J3" s="10"/>
      <c r="K3" s="14"/>
      <c r="L3" s="14"/>
      <c r="M3" s="14" t="str">
        <f aca="false">IF(K3="", "", ", ""rinji"":"""&amp;K3&amp;"""")</f>
        <v/>
      </c>
      <c r="N3" s="14"/>
      <c r="O3" s="10"/>
      <c r="P3" s="14"/>
      <c r="Q3" s="14"/>
      <c r="R3" s="14" t="str">
        <f aca="false">IF(P3="", "", ", ""rinji"":"""&amp;P3&amp;"""")</f>
        <v/>
      </c>
      <c r="S3" s="14"/>
      <c r="T3" s="10"/>
      <c r="U3" s="14"/>
      <c r="V3" s="14"/>
      <c r="W3" s="14" t="str">
        <f aca="false">IF(U3="", "", ", ""rinji"":"""&amp;U3&amp;"""")</f>
        <v/>
      </c>
      <c r="X3" s="14"/>
      <c r="Y3" s="10"/>
      <c r="Z3" s="14"/>
      <c r="AA3" s="14"/>
      <c r="AB3" s="14" t="str">
        <f aca="false">IF(Z3="", "", ", ""rinji"":"""&amp;Z3&amp;"""")</f>
        <v/>
      </c>
      <c r="AC3" s="14"/>
      <c r="AD3" s="10"/>
      <c r="AE3" s="14"/>
      <c r="AF3" s="14"/>
      <c r="AG3" s="14" t="str">
        <f aca="false">IF(AE3="", "", ", ""rinji"":"""&amp;AE3&amp;"""")</f>
        <v/>
      </c>
      <c r="AH3" s="14"/>
      <c r="AI3" s="10"/>
      <c r="AJ3" s="14"/>
      <c r="AK3" s="14"/>
      <c r="AL3" s="14" t="str">
        <f aca="false">IF(AJ3="", "", ", ""rinji"":"""&amp;AJ3&amp;"""")</f>
        <v/>
      </c>
      <c r="AM3" s="14"/>
      <c r="AN3" s="10"/>
      <c r="AO3" s="14"/>
      <c r="AP3" s="14"/>
      <c r="AQ3" s="14" t="str">
        <f aca="false">IF(AO3="", "", ", ""rinji"":"""&amp;AO3&amp;"""")</f>
        <v/>
      </c>
      <c r="AR3" s="14"/>
      <c r="AS3" s="10"/>
      <c r="AT3" s="14"/>
      <c r="AU3" s="14"/>
      <c r="AV3" s="14" t="str">
        <f aca="false">IF(AT3="", "", ", ""rinji"":"""&amp;AT3&amp;"""")</f>
        <v/>
      </c>
      <c r="AW3" s="14"/>
      <c r="AX3" s="10"/>
      <c r="AY3" s="11"/>
      <c r="AZ3" s="14"/>
      <c r="BA3" s="14"/>
      <c r="BB3" s="14" t="str">
        <f aca="false">IF(AZ3="", "", ", ""rinji"":"""&amp;AZ3&amp;"""")</f>
        <v/>
      </c>
      <c r="BC3" s="14"/>
      <c r="BD3" s="10"/>
      <c r="BE3" s="14"/>
      <c r="BF3" s="14"/>
      <c r="BG3" s="14" t="str">
        <f aca="false">IF(BE3="", "", ", ""rinji"":"""&amp;BE3&amp;"""")</f>
        <v/>
      </c>
      <c r="BH3" s="14"/>
      <c r="BI3" s="10"/>
      <c r="BJ3" s="14"/>
      <c r="BK3" s="14"/>
      <c r="BL3" s="14" t="str">
        <f aca="false">IF(BJ3="", "", ", ""rinji"":"""&amp;BJ3&amp;"""")</f>
        <v/>
      </c>
      <c r="BM3" s="14"/>
      <c r="BN3" s="10"/>
      <c r="BO3" s="14"/>
      <c r="BP3" s="14"/>
      <c r="BQ3" s="14" t="str">
        <f aca="false">IF(BO3="", "", ", ""rinji"":"""&amp;BO3&amp;"""")</f>
        <v/>
      </c>
      <c r="BR3" s="14"/>
      <c r="BS3" s="10"/>
      <c r="BT3" s="14"/>
      <c r="BU3" s="14"/>
      <c r="BV3" s="14" t="str">
        <f aca="false">IF(BT3="", "", ", ""rinji"":"""&amp;BT3&amp;"""")</f>
        <v/>
      </c>
      <c r="BW3" s="14"/>
      <c r="BX3" s="10"/>
      <c r="BY3" s="12"/>
      <c r="BZ3" s="14"/>
      <c r="CA3" s="14"/>
      <c r="CB3" s="14" t="str">
        <f aca="false">IF(BZ3="", "", ", ""rinji"":"""&amp;BZ3&amp;"""")</f>
        <v/>
      </c>
      <c r="CC3" s="14"/>
      <c r="CD3" s="10"/>
      <c r="CE3" s="14"/>
      <c r="CF3" s="14"/>
      <c r="CG3" s="14" t="str">
        <f aca="false">IF(CE3="", "", ", ""rinji"":"""&amp;CE3&amp;"""")</f>
        <v/>
      </c>
      <c r="CH3" s="14"/>
      <c r="CI3" s="10"/>
      <c r="CJ3" s="14"/>
      <c r="CK3" s="14"/>
      <c r="CL3" s="14" t="str">
        <f aca="false">IF(CJ3="", "", ", ""rinji"":"""&amp;CJ3&amp;"""")</f>
        <v/>
      </c>
      <c r="CM3" s="14"/>
      <c r="CN3" s="10"/>
      <c r="CO3" s="14"/>
      <c r="CP3" s="14"/>
      <c r="CQ3" s="14" t="str">
        <f aca="false">IF(CO3="", "", ", ""rinji"":"""&amp;CO3&amp;"""")</f>
        <v/>
      </c>
      <c r="CR3" s="14"/>
      <c r="CS3" s="10"/>
      <c r="CT3" s="13"/>
      <c r="CU3" s="14"/>
      <c r="CV3" s="14"/>
      <c r="CW3" s="14" t="str">
        <f aca="false">IF(CU3="", "", ", ""rinji"":"""&amp;CU3&amp;"""")</f>
        <v/>
      </c>
      <c r="CX3" s="14"/>
      <c r="CY3" s="10"/>
      <c r="CZ3" s="14"/>
      <c r="DA3" s="14"/>
      <c r="DB3" s="14" t="str">
        <f aca="false">IF(CZ3="", "", ", ""rinji"":"""&amp;CZ3&amp;"""")</f>
        <v/>
      </c>
      <c r="DC3" s="14"/>
      <c r="DD3" s="10"/>
      <c r="DE3" s="14"/>
      <c r="DF3" s="14"/>
      <c r="DG3" s="14" t="str">
        <f aca="false">IF(DE3="", "", ", ""rinji"":"""&amp;DE3&amp;"""")</f>
        <v/>
      </c>
      <c r="DH3" s="14"/>
      <c r="DI3" s="10"/>
      <c r="DJ3" s="14"/>
      <c r="DK3" s="14"/>
      <c r="DL3" s="14" t="str">
        <f aca="false">IF(DJ3="", "", ", ""rinji"":"""&amp;DJ3&amp;"""")</f>
        <v/>
      </c>
      <c r="DM3" s="14"/>
      <c r="DN3" s="10"/>
      <c r="DO3" s="14"/>
      <c r="DP3" s="14"/>
      <c r="DQ3" s="14" t="str">
        <f aca="false">IF(DO3="", "", ", ""rinji"":"""&amp;DO3&amp;"""")</f>
        <v/>
      </c>
      <c r="DR3" s="14"/>
      <c r="DS3" s="10"/>
      <c r="DT3" s="14" t="s">
        <v>18</v>
      </c>
      <c r="DU3" s="14"/>
      <c r="DV3" s="14" t="str">
        <f aca="false">IF(DT3="", "", ", ""rinji"":"""&amp;DT3&amp;"""")</f>
        <v>, "rinji":"来居欠航時"</v>
      </c>
      <c r="DW3" s="14"/>
      <c r="DX3" s="10"/>
      <c r="DY3" s="14" t="s">
        <v>18</v>
      </c>
      <c r="DZ3" s="14"/>
      <c r="EA3" s="14" t="str">
        <f aca="false">IF(DY3="", "", ", ""rinji"":"""&amp;DY3&amp;"""")</f>
        <v>, "rinji":"来居欠航時"</v>
      </c>
      <c r="EB3" s="14"/>
      <c r="EC3" s="10"/>
      <c r="ED3" s="14" t="s">
        <v>18</v>
      </c>
      <c r="EE3" s="14"/>
      <c r="EF3" s="14" t="str">
        <f aca="false">IF(ED3="", "", ", ""rinji"":"""&amp;ED3&amp;"""")</f>
        <v>, "rinji":"来居欠航時"</v>
      </c>
      <c r="EG3" s="14"/>
      <c r="EH3" s="10"/>
      <c r="EI3" s="14" t="s">
        <v>18</v>
      </c>
      <c r="EJ3" s="14"/>
      <c r="EK3" s="14" t="str">
        <f aca="false">IF(EI3="", "", ", ""rinji"":"""&amp;EI3&amp;"""")</f>
        <v>, "rinji":"来居欠航時"</v>
      </c>
      <c r="EL3" s="14"/>
      <c r="EM3" s="10"/>
      <c r="EN3" s="14" t="s">
        <v>18</v>
      </c>
      <c r="EO3" s="14"/>
      <c r="EP3" s="14" t="str">
        <f aca="false">IF(EN3="", "", ", ""rinji"":"""&amp;EN3&amp;"""")</f>
        <v>, "rinji":"来居欠航時"</v>
      </c>
      <c r="EQ3" s="14"/>
      <c r="ER3" s="10"/>
    </row>
    <row r="4" customFormat="false" ht="96.75" hidden="false" customHeight="true" outlineLevel="0" collapsed="false">
      <c r="A4" s="8" t="s">
        <v>19</v>
      </c>
      <c r="B4" s="1" t="s">
        <v>20</v>
      </c>
      <c r="C4" s="1" t="s">
        <v>21</v>
      </c>
      <c r="D4" s="15" t="str">
        <f aca="false">"{""ship"":""" &amp; A4 &amp; """, " &amp; B2 &amp; C3 &amp; ", ""info"":""" &amp; A2 &amp; """, ""data"":["</f>
        <v>{"ship":"フェリーおき", "spans":["2027/1/1-2027/2/28"], "days":[], "info":"2027厳冬、初冬入渠、減便", "data":[</v>
      </c>
      <c r="F4" s="8" t="s">
        <v>22</v>
      </c>
      <c r="G4" s="1" t="s">
        <v>20</v>
      </c>
      <c r="H4" s="1" t="s">
        <v>21</v>
      </c>
      <c r="I4" s="15" t="str">
        <f aca="false">"{""ship"":""" &amp; F4 &amp; """, " &amp; G2 &amp; H3 &amp; ", ""info"":""" &amp; F2 &amp; """, ""data"":["</f>
        <v>{"ship":"フェリーしらしま", "spans":["2027/1/1-2027/2/28"], "days":[], "info":"2027厳冬、初冬入渠、減便", "data":[</v>
      </c>
      <c r="K4" s="8" t="s">
        <v>19</v>
      </c>
      <c r="L4" s="1" t="s">
        <v>20</v>
      </c>
      <c r="M4" s="1" t="s">
        <v>21</v>
      </c>
      <c r="N4" s="15" t="str">
        <f aca="false">"{""ship"":""" &amp; K4 &amp; """, " &amp; L2 &amp; M3 &amp; ", ""info"":""" &amp; K2 &amp; """, ""data"":["</f>
        <v>{"ship":"フェリーおき", "spans":["2027/3/1-2027/3/8", "2027/6/1-2027/7/17", "2027/9/1-2027/10/9", "2027/11/9-2027/12/20"], "days":[], "info":"2027厳冬、初冬入渠、減便", "data":[</v>
      </c>
      <c r="P4" s="8" t="s">
        <v>22</v>
      </c>
      <c r="Q4" s="1" t="s">
        <v>20</v>
      </c>
      <c r="R4" s="1" t="s">
        <v>21</v>
      </c>
      <c r="S4" s="15" t="str">
        <f aca="false">"{""ship"":""" &amp; P4 &amp; """, " &amp; Q2 &amp; R3 &amp; ", ""info"":""" &amp; P2 &amp; """, ""data"":["</f>
        <v>{"ship":"フェリーしらしま", "spans":["2027/3/1-2027/3/8", "2027/6/1-2027/7/17", "2027/9/1-2027/10/9", "2027/11/9-2027/12/20"], "days":[], "info":"2027厳冬、初冬入渠、減便", "data":[</v>
      </c>
      <c r="U4" s="8" t="s">
        <v>19</v>
      </c>
      <c r="V4" s="1" t="s">
        <v>20</v>
      </c>
      <c r="W4" s="1" t="s">
        <v>21</v>
      </c>
      <c r="X4" s="8" t="str">
        <f aca="false">"{""ship"":""" &amp; U4 &amp; """, " &amp; V2 &amp; W3 &amp; ", ""info"":""" &amp; U2 &amp; """, ""data"":["</f>
        <v>{"ship":"フェリーおき", "spans":["2027/3/9-2027/5/31", "2027/7/18-2027/8/7", "2027/8/17-2027/8/31", "2027/10/10-2027/11/8", "2027/12/21-2027/12/31"], "days":[], "info":"2027通常", "data":[</v>
      </c>
      <c r="Z4" s="8" t="s">
        <v>23</v>
      </c>
      <c r="AA4" s="1" t="s">
        <v>20</v>
      </c>
      <c r="AB4" s="1" t="s">
        <v>21</v>
      </c>
      <c r="AC4" s="8" t="str">
        <f aca="false">"{""ship"":""" &amp; Z4 &amp; """, " &amp; AA2 &amp; AB3 &amp; ", ""info"":""" &amp; Z2 &amp; """, ""data"":["</f>
        <v>{"ship":"フェリーくにが", "spans":["2027/3/9-2027/5/31", "2027/7/18-2027/8/7", "2027/8/17-2027/8/31", "2027/10/10-2027/11/8", "2027/12/21-2027/12/31"], "days":[], "info":"2027通常", "data":[</v>
      </c>
      <c r="AE4" s="8" t="s">
        <v>22</v>
      </c>
      <c r="AF4" s="1" t="s">
        <v>20</v>
      </c>
      <c r="AG4" s="1" t="s">
        <v>21</v>
      </c>
      <c r="AH4" s="8" t="str">
        <f aca="false">"{""ship"":""" &amp; AE4 &amp; """, " &amp; AF2 &amp; AG3 &amp; ", ""info"":""" &amp; AE2 &amp; """, ""data"":["</f>
        <v>{"ship":"フェリーしらしま", "spans":["2027/3/9-2027/5/31", "2027/7/18-2027/8/7", "2027/8/17-2027/8/31", "2027/10/10-2027/11/8", "2027/12/21-2027/12/31"], "days":[], "info":"2027通常", "data":[</v>
      </c>
      <c r="AJ4" s="8" t="s">
        <v>19</v>
      </c>
      <c r="AK4" s="1" t="s">
        <v>20</v>
      </c>
      <c r="AL4" s="1" t="s">
        <v>21</v>
      </c>
      <c r="AM4" s="8" t="str">
        <f aca="false">"{""ship"":""" &amp; AJ4 &amp; """, " &amp; AK2 &amp; AL3 &amp; ", ""info"":""" &amp; AJ2 &amp; """, ""data"":["</f>
        <v>{"ship":"フェリーおき", "spans":["2027/8/8-2027/8/16"], "days":[], "info":"2027盆", "data":[</v>
      </c>
      <c r="AO4" s="8" t="s">
        <v>23</v>
      </c>
      <c r="AP4" s="1" t="s">
        <v>20</v>
      </c>
      <c r="AQ4" s="1" t="s">
        <v>21</v>
      </c>
      <c r="AR4" s="8" t="str">
        <f aca="false">"{""ship"":""" &amp; AO4 &amp; """, " &amp; AP2 &amp; AQ3 &amp; ", ""info"":""" &amp; AO2 &amp; """, ""data"":["</f>
        <v>{"ship":"フェリーくにが", "spans":["2027/8/8-2027/8/16"], "days":[], "info":"2027盆", "data":[</v>
      </c>
      <c r="AT4" s="8" t="s">
        <v>22</v>
      </c>
      <c r="AU4" s="1" t="s">
        <v>20</v>
      </c>
      <c r="AV4" s="1" t="s">
        <v>21</v>
      </c>
      <c r="AW4" s="8" t="str">
        <f aca="false">"{""ship"":""" &amp; AT4 &amp; """, " &amp; AU2 &amp; AV3 &amp; ", ""info"":""" &amp; AT2 &amp; """, ""data"":["</f>
        <v>{"ship":"フェリーしらしま", "spans":["2027/8/8-2027/8/16"], "days":[], "info":"2027盆", "data":[</v>
      </c>
      <c r="AZ4" s="8" t="s">
        <v>24</v>
      </c>
      <c r="BA4" s="1" t="s">
        <v>20</v>
      </c>
      <c r="BB4" s="1" t="s">
        <v>21</v>
      </c>
      <c r="BC4" s="8" t="str">
        <f aca="false">"{""ship"":""" &amp; AZ4 &amp; """, " &amp; BA2 &amp; BB3 &amp; ", ""info"":""" &amp; AZ2 &amp; """, ""data"":["</f>
        <v>{"ship":"レインボージェット", "spans":["2027/3/1-2027/3/31"], "days":[], "info":"2027年度末", "data":[</v>
      </c>
      <c r="BE4" s="8" t="s">
        <v>24</v>
      </c>
      <c r="BF4" s="1" t="s">
        <v>20</v>
      </c>
      <c r="BG4" s="1" t="s">
        <v>21</v>
      </c>
      <c r="BH4" s="8" t="str">
        <f aca="false">"{""ship"":""" &amp; BE4 &amp; """, " &amp; BF2 &amp; BG3 &amp; ", ""info"":""" &amp; BE2 &amp; """, ""data"":["</f>
        <v>{"ship":"レインボージェット", "spans":["2027/4/1-2027/4/30", "2027/5/7-2027/5/24", "2027/5/30-2027/8/7", "2027/8/17-2027/8/31"], "days":[], "info":"2027春初夏", "data":[</v>
      </c>
      <c r="BJ4" s="8" t="s">
        <v>24</v>
      </c>
      <c r="BK4" s="1" t="s">
        <v>20</v>
      </c>
      <c r="BL4" s="1" t="s">
        <v>21</v>
      </c>
      <c r="BM4" s="8" t="str">
        <f aca="false">"{""ship"":""" &amp; BJ4 &amp; """, " &amp; BK2 &amp; BL3 &amp; ", ""info"":""" &amp; BJ2 &amp; """, ""data"":["</f>
        <v>{"ship":"レインボージェット", "spans":["2027/5/1-2027/5/6", "2027/8/8-2027/8/16"], "days":[], "info":"2027GW夏休み", "data":[</v>
      </c>
      <c r="BO4" s="8" t="s">
        <v>24</v>
      </c>
      <c r="BP4" s="1" t="s">
        <v>20</v>
      </c>
      <c r="BQ4" s="1" t="s">
        <v>21</v>
      </c>
      <c r="BR4" s="8" t="str">
        <f aca="false">"{""ship"":""" &amp; BO4 &amp; """, " &amp; BP2 &amp; BQ3 &amp; ", ""info"":""" &amp; BO2 &amp; """, ""data"":["</f>
        <v>{"ship":"レインボージェット", "spans":["2027/9/1-2027/10/31"], "days":[], "info":"2027秋", "data":[</v>
      </c>
      <c r="BT4" s="8" t="s">
        <v>24</v>
      </c>
      <c r="BU4" s="1" t="s">
        <v>20</v>
      </c>
      <c r="BV4" s="1" t="s">
        <v>21</v>
      </c>
      <c r="BW4" s="8" t="str">
        <f aca="false">"{""ship"":""" &amp; BT4 &amp; """, " &amp; BU2 &amp; BV3 &amp; ", ""info"":""" &amp; BT2 &amp; """, ""data"":["</f>
        <v>{"ship":"レインボージェット", "spans":["2027/11/1-2027/11/30"], "days":[], "info":"2027初冬", "data":[</v>
      </c>
      <c r="BZ4" s="8" t="s">
        <v>25</v>
      </c>
      <c r="CA4" s="1" t="s">
        <v>20</v>
      </c>
      <c r="CB4" s="1" t="s">
        <v>21</v>
      </c>
      <c r="CC4" s="8" t="str">
        <f aca="false">"{""ship"":""" &amp; BZ4 &amp; """, " &amp; CA2 &amp; CB3 &amp; ", ""info"":""" &amp; BZ2 &amp; """, ""data"":["</f>
        <v>{"ship":"フェリーどうぜん", "spans":["2027/1/2-2027/1/3"], "days":["2026/12/31"], "info":"2027年末年始", "data":[</v>
      </c>
      <c r="CE4" s="8" t="s">
        <v>25</v>
      </c>
      <c r="CF4" s="1" t="s">
        <v>20</v>
      </c>
      <c r="CG4" s="1" t="s">
        <v>21</v>
      </c>
      <c r="CH4" s="8" t="str">
        <f aca="false">"{""ship"":""" &amp; CE4 &amp; """, " &amp; CF2 &amp; CG3 &amp; ", ""info"":""" &amp; CE2 &amp; """, ""data"":["</f>
        <v>{"ship":"フェリーどうぜん", "spans":[], "days":["2027/1/1"], "info":"2027元日", "data":[</v>
      </c>
      <c r="CJ4" s="8" t="s">
        <v>25</v>
      </c>
      <c r="CK4" s="1" t="s">
        <v>20</v>
      </c>
      <c r="CL4" s="1" t="s">
        <v>21</v>
      </c>
      <c r="CM4" s="8" t="str">
        <f aca="false">"{""ship"":""" &amp; CJ4 &amp; """, " &amp; CK2 &amp; CL3 &amp; ", ""info"":""" &amp; CJ2 &amp; """, ""data"":["</f>
        <v>{"ship":"フェリーどうぜん", "spans":["2027/1/4-2027/3/8", "2027/6/1-2027/7/17", "2027/9/1-2027/10/9", "2027/11/9-2027/12/20"], "days":[], "info":"2027通常、汽船２隻", "data":[</v>
      </c>
      <c r="CO4" s="8" t="s">
        <v>25</v>
      </c>
      <c r="CP4" s="1" t="s">
        <v>20</v>
      </c>
      <c r="CQ4" s="1" t="s">
        <v>21</v>
      </c>
      <c r="CR4" s="8" t="str">
        <f aca="false">"{""ship"":""" &amp; CO4 &amp; """, " &amp; CP2 &amp; CQ3 &amp; ", ""info"":""" &amp; CO2 &amp; """, ""data"":["</f>
        <v>{"ship":"フェリーどうぜん", "spans":["2027/3/9-2027/5/31", "2027/7/18-2027/8/31", "2027/10/10-2027/11/8", "2027/12/21-2027/12/30"], "days":[], "info":"2027通常、汽船３隻", "data":[</v>
      </c>
      <c r="CU4" s="8" t="s">
        <v>26</v>
      </c>
      <c r="CV4" s="1" t="s">
        <v>20</v>
      </c>
      <c r="CW4" s="1" t="s">
        <v>21</v>
      </c>
      <c r="CX4" s="8" t="str">
        <f aca="false">"{""ship"":""" &amp; CU4 &amp; """, " &amp; CV2 &amp; CW3 &amp; ", ""info"":""" &amp; CU2 &amp; """, ""data"":["</f>
        <v>{"ship":"いそかぜ", "spans":["2026/12/31-2027/1/3"], "days":[], "info":"2027年末年始", "data":[</v>
      </c>
      <c r="CZ4" s="8" t="s">
        <v>26</v>
      </c>
      <c r="DA4" s="1" t="s">
        <v>20</v>
      </c>
      <c r="DB4" s="1" t="s">
        <v>21</v>
      </c>
      <c r="DC4" s="8" t="str">
        <f aca="false">"{""ship"":""" &amp; CZ4 &amp; """, " &amp; DA2 &amp; DB3 &amp; ", ""info"":""" &amp; CZ2 &amp; """, ""data"":["</f>
        <v>{"ship":"いそかぜ", "spans":["2027/1/4-2027/2/28", "2027/6/1-2027/7/17", "2027/11/9-2027/12/20"], "days":[], "info":"2027通常、汽船２隻", "data":[</v>
      </c>
      <c r="DE4" s="8" t="s">
        <v>26</v>
      </c>
      <c r="DF4" s="1" t="s">
        <v>20</v>
      </c>
      <c r="DG4" s="1" t="s">
        <v>21</v>
      </c>
      <c r="DH4" s="8" t="str">
        <f aca="false">"{""ship"":""" &amp; DE4 &amp; """, " &amp; DF2 &amp; DG3 &amp; ", ""info"":""" &amp; DE2 &amp; """, ""data"":["</f>
        <v>{"ship":"いそかぜ", "spans":["2027/4/1-2027/5/31", "2027/7/18-2027/8/31", "2027/11/1-2027/11/8", "2027/12/21-2027/12/30"], "days":[], "info":"2027通常、汽船３隻", "data":[</v>
      </c>
      <c r="DJ4" s="8" t="s">
        <v>26</v>
      </c>
      <c r="DK4" s="1" t="s">
        <v>20</v>
      </c>
      <c r="DL4" s="1" t="s">
        <v>21</v>
      </c>
      <c r="DM4" s="8" t="str">
        <f aca="false">"{""ship"":""" &amp; DJ4 &amp; """, " &amp; DK2 &amp; DL3 &amp; ", ""info"":""" &amp; DJ2 &amp; """, ""data"":["</f>
        <v>{"ship":"いそかぜ", "spans":["2027/3/1-2027/3/8", "2027/9/1-2027/10/9"], "days":[], "info":"2027一部変更、汽船２隻", "data":[</v>
      </c>
      <c r="DO4" s="8" t="s">
        <v>26</v>
      </c>
      <c r="DP4" s="1" t="s">
        <v>20</v>
      </c>
      <c r="DQ4" s="1" t="s">
        <v>21</v>
      </c>
      <c r="DR4" s="8" t="str">
        <f aca="false">"{""ship"":""" &amp; DO4 &amp; """, " &amp; DP2 &amp; DQ3 &amp; ", ""info"":""" &amp; DO2 &amp; """, ""data"":["</f>
        <v>{"ship":"いそかぜ", "spans":["2027/3/9-2027/3/31", "2027/10/10-2027/10/31"], "days":[], "info":"2027一部変更、汽船３隻", "data":[</v>
      </c>
      <c r="DT4" s="8" t="s">
        <v>26</v>
      </c>
      <c r="DU4" s="1" t="s">
        <v>20</v>
      </c>
      <c r="DV4" s="1" t="s">
        <v>21</v>
      </c>
      <c r="DW4" s="8" t="str">
        <f aca="false">"{""ship"":""" &amp; DT4 &amp; """, " &amp; DU2 &amp; DV3 &amp; ", ""info"":""" &amp; DT2 &amp; """, ""data"":["</f>
        <v>{"ship":"いそかぜ", "spans":["2026/12/31-2027/1/3"], "days":[], "rinji":"来居欠航時", "info":"2027年末年始", "data":[</v>
      </c>
      <c r="DY4" s="8" t="s">
        <v>26</v>
      </c>
      <c r="DZ4" s="1" t="s">
        <v>20</v>
      </c>
      <c r="EA4" s="1" t="s">
        <v>21</v>
      </c>
      <c r="EB4" s="8" t="str">
        <f aca="false">"{""ship"":""" &amp; DY4 &amp; """, " &amp; DZ2 &amp; EA3 &amp; ", ""info"":""" &amp; DY2 &amp; """, ""data"":["</f>
        <v>{"ship":"いそかぜ", "spans":["2027/1/4-2027/2/28", "2027/6/1-2027/7/17", "2027/11/9-2027/12/20"], "days":[], "rinji":"来居欠航時", "info":"2027通常、汽船２隻", "data":[</v>
      </c>
      <c r="ED4" s="8" t="s">
        <v>26</v>
      </c>
      <c r="EE4" s="1" t="s">
        <v>20</v>
      </c>
      <c r="EF4" s="1" t="s">
        <v>21</v>
      </c>
      <c r="EG4" s="8" t="str">
        <f aca="false">"{""ship"":""" &amp; ED4 &amp; """, " &amp; EE2 &amp; EF3 &amp; ", ""info"":""" &amp; ED2 &amp; """, ""data"":["</f>
        <v>{"ship":"いそかぜ", "spans":["2027/4/1-2027/5/31", "2027/7/18-2027/8/31", "2027/11/1-2027/11/8", "2027/12/21-2027/12/30"], "days":[], "rinji":"来居欠航時", "info":"2027通常、汽船３隻", "data":[</v>
      </c>
      <c r="EI4" s="8" t="s">
        <v>26</v>
      </c>
      <c r="EJ4" s="1" t="s">
        <v>20</v>
      </c>
      <c r="EK4" s="1" t="s">
        <v>21</v>
      </c>
      <c r="EL4" s="8" t="str">
        <f aca="false">"{""ship"":""" &amp; EI4 &amp; """, " &amp; EJ2 &amp; EK3 &amp; ", ""info"":""" &amp; EI2 &amp; """, ""data"":["</f>
        <v>{"ship":"いそかぜ", "spans":["2027/3/1-2027/3/8", "2027/9/1-2027/10/9"], "days":[], "rinji":"来居欠航時", "info":"2027一部変更、汽船２隻", "data":[</v>
      </c>
      <c r="EN4" s="8" t="s">
        <v>26</v>
      </c>
      <c r="EO4" s="1" t="s">
        <v>20</v>
      </c>
      <c r="EP4" s="1" t="s">
        <v>21</v>
      </c>
      <c r="EQ4" s="8" t="str">
        <f aca="false">"{""ship"":""" &amp; EN4 &amp; """, " &amp; EO2 &amp; EP3 &amp; ", ""info"":""" &amp; EN2 &amp; """, ""data"":["</f>
        <v>{"ship":"いそかぜ", "spans":["2027/3/9-2027/3/31", "2027/10/10-2027/10/31"], "days":[], "rinji":"来居欠航時", "info":"2027一部変更、汽船３隻", "data":[</v>
      </c>
    </row>
    <row r="5" customFormat="false" ht="18" hidden="false" customHeight="false" outlineLevel="0" collapsed="false">
      <c r="A5" s="16" t="s">
        <v>27</v>
      </c>
      <c r="B5" s="16"/>
      <c r="C5" s="17" t="n">
        <v>0.375</v>
      </c>
      <c r="D5" s="1" t="str">
        <f aca="false">"[""" &amp; A5 &amp; """, """ &amp; IF(B5="","",TEXT(B5,"h:mm")) &amp; """, """ &amp; IF(C5="","",TEXT(C5,"h:mm")) &amp; """],"</f>
        <v>["七類", "", "9:00"],</v>
      </c>
      <c r="E5" s="18" t="str">
        <f aca="false">IF(AND(LEN(B5)&lt;&gt;0,LEN(C5)&lt;&gt;0),((HOUR(C5)*60)+MINUTE(C5))-((HOUR(B5)*60)+MINUTE(B5)),"")</f>
        <v/>
      </c>
      <c r="F5" s="16" t="s">
        <v>28</v>
      </c>
      <c r="G5" s="16"/>
      <c r="H5" s="17" t="n">
        <v>0.354166666666667</v>
      </c>
      <c r="I5" s="1" t="str">
        <f aca="false">"[""" &amp; F5 &amp; """, """ &amp; IF(G5="","",TEXT(G5,"h:mm")) &amp; """, """ &amp; IF(H5="","",TEXT(H5,"h:mm")) &amp; """],"</f>
        <v>["西郷", "", "8:30"],</v>
      </c>
      <c r="J5" s="18" t="str">
        <f aca="false">IF(AND(LEN(G5)&lt;&gt;0,LEN(H5)&lt;&gt;0),((HOUR(H5)*60)+MINUTE(H5))-((HOUR(G5)*60)+MINUTE(G5)),"")</f>
        <v/>
      </c>
      <c r="K5" s="16" t="s">
        <v>27</v>
      </c>
      <c r="L5" s="16"/>
      <c r="M5" s="17" t="n">
        <v>0.375</v>
      </c>
      <c r="N5" s="1" t="str">
        <f aca="false">"[""" &amp; K5 &amp; """, """ &amp; IF(L5="","",TEXT(L5,"h:mm")) &amp; """, """ &amp; IF(M5="","",TEXT(M5,"h:mm")) &amp; """],"</f>
        <v>["七類", "", "9:00"],</v>
      </c>
      <c r="O5" s="18" t="str">
        <f aca="false">IF(AND(LEN(L5)&lt;&gt;0,LEN(M5)&lt;&gt;0),((HOUR(M5)*60)+MINUTE(M5))-((HOUR(L5)*60)+MINUTE(L5)),"")</f>
        <v/>
      </c>
      <c r="P5" s="16" t="s">
        <v>28</v>
      </c>
      <c r="Q5" s="16"/>
      <c r="R5" s="17" t="n">
        <v>0.354166666666667</v>
      </c>
      <c r="S5" s="1" t="str">
        <f aca="false">"[""" &amp; P5 &amp; """, """ &amp; IF(Q5="","",TEXT(Q5,"h:mm")) &amp; """, """ &amp; IF(R5="","",TEXT(R5,"h:mm")) &amp; """],"</f>
        <v>["西郷", "", "8:30"],</v>
      </c>
      <c r="T5" s="18" t="str">
        <f aca="false">IF(AND(LEN(Q5)&lt;&gt;0,LEN(R5)&lt;&gt;0),((HOUR(R5)*60)+MINUTE(R5))-((HOUR(Q5)*60)+MINUTE(Q5)),"")</f>
        <v/>
      </c>
      <c r="U5" s="16" t="s">
        <v>27</v>
      </c>
      <c r="V5" s="16"/>
      <c r="W5" s="17" t="n">
        <v>0.375</v>
      </c>
      <c r="X5" s="1" t="str">
        <f aca="false">"[""" &amp; U5 &amp; """, """ &amp; IF(V5="","",TEXT(V5,"h:mm")) &amp; """, """ &amp; IF(W5="","",TEXT(W5,"h:mm")) &amp; """],"</f>
        <v>["七類", "", "9:00"],</v>
      </c>
      <c r="Y5" s="18" t="str">
        <f aca="false">IF(AND(LEN(V5)&lt;&gt;0,LEN(W5)&lt;&gt;0),((HOUR(W5)*60)+MINUTE(W5))-((HOUR(V5)*60)+MINUTE(V5)),"")</f>
        <v/>
      </c>
      <c r="Z5" s="16" t="s">
        <v>27</v>
      </c>
      <c r="AA5" s="16"/>
      <c r="AB5" s="17" t="n">
        <v>0.395833333333333</v>
      </c>
      <c r="AC5" s="1" t="str">
        <f aca="false">"[""" &amp; Z5 &amp; """, """ &amp; IF(AA5="","",TEXT(AA5,"h:mm")) &amp; """, """ &amp; IF(AB5="","",TEXT(AB5,"h:mm")) &amp; """],"</f>
        <v>["七類", "", "9:30"],</v>
      </c>
      <c r="AD5" s="18" t="str">
        <f aca="false">IF(AND(LEN(AA5)&lt;&gt;0,LEN(AB5)&lt;&gt;0),((HOUR(AB5)*60)+MINUTE(AB5))-((HOUR(AA5)*60)+MINUTE(AA5)),"")</f>
        <v/>
      </c>
      <c r="AE5" s="16" t="s">
        <v>28</v>
      </c>
      <c r="AF5" s="16"/>
      <c r="AG5" s="17" t="n">
        <v>0.354166666666667</v>
      </c>
      <c r="AH5" s="1" t="str">
        <f aca="false">"[""" &amp; AE5 &amp; """, """ &amp; IF(AF5="","",TEXT(AF5,"h:mm")) &amp; """, """ &amp; IF(AG5="","",TEXT(AG5,"h:mm")) &amp; """],"</f>
        <v>["西郷", "", "8:30"],</v>
      </c>
      <c r="AI5" s="18" t="str">
        <f aca="false">IF(AND(LEN(AF5)&lt;&gt;0,LEN(AG5)&lt;&gt;0),((HOUR(AG5)*60)+MINUTE(AG5))-((HOUR(AF5)*60)+MINUTE(AF5)),"")</f>
        <v/>
      </c>
      <c r="AJ5" s="16" t="s">
        <v>27</v>
      </c>
      <c r="AK5" s="16"/>
      <c r="AL5" s="17" t="n">
        <v>0.375</v>
      </c>
      <c r="AM5" s="1" t="str">
        <f aca="false">"[""" &amp; AJ5 &amp; """, """ &amp; IF(AK5="","",TEXT(AK5,"h:mm")) &amp; """, """ &amp; IF(AL5="","",TEXT(AL5,"h:mm")) &amp; """],"</f>
        <v>["七類", "", "9:00"],</v>
      </c>
      <c r="AN5" s="18" t="str">
        <f aca="false">IF(AND(LEN(AK5)&lt;&gt;0,LEN(AL5)&lt;&gt;0),((HOUR(AL5)*60)+MINUTE(AL5))-((HOUR(AK5)*60)+MINUTE(AK5)),"")</f>
        <v/>
      </c>
      <c r="AO5" s="16" t="s">
        <v>27</v>
      </c>
      <c r="AP5" s="16"/>
      <c r="AQ5" s="17" t="n">
        <v>0.395833333333333</v>
      </c>
      <c r="AR5" s="1" t="str">
        <f aca="false">"[""" &amp; AO5 &amp; """, """ &amp; IF(AP5="","",TEXT(AP5,"h:mm")) &amp; """, """ &amp; IF(AQ5="","",TEXT(AQ5,"h:mm")) &amp; """],"</f>
        <v>["七類", "", "9:30"],</v>
      </c>
      <c r="AS5" s="18" t="str">
        <f aca="false">IF(AND(LEN(AP5)&lt;&gt;0,LEN(AQ5)&lt;&gt;0),((HOUR(AQ5)*60)+MINUTE(AQ5))-((HOUR(AP5)*60)+MINUTE(AP5)),"")</f>
        <v/>
      </c>
      <c r="AT5" s="16" t="s">
        <v>28</v>
      </c>
      <c r="AU5" s="16"/>
      <c r="AV5" s="17" t="n">
        <v>0.354166666666667</v>
      </c>
      <c r="AW5" s="1" t="str">
        <f aca="false">"[""" &amp; AT5 &amp; """, """ &amp; IF(AU5="","",TEXT(AU5,"h:mm")) &amp; """, """ &amp; IF(AV5="","",TEXT(AV5,"h:mm")) &amp; """],"</f>
        <v>["西郷", "", "8:30"],</v>
      </c>
      <c r="AX5" s="18" t="str">
        <f aca="false">IF(AND(LEN(AU5)&lt;&gt;0,LEN(AV5)&lt;&gt;0),((HOUR(AV5)*60)+MINUTE(AV5))-((HOUR(AU5)*60)+MINUTE(AU5)),"")</f>
        <v/>
      </c>
      <c r="AZ5" s="16" t="s">
        <v>29</v>
      </c>
      <c r="BA5" s="16"/>
      <c r="BB5" s="16" t="n">
        <v>0.333333333333333</v>
      </c>
      <c r="BC5" s="1" t="str">
        <f aca="false">"[""" &amp; AZ5 &amp; """, """ &amp; IF(BA5="","",TEXT(BA5,"h:mm")) &amp; """, """ &amp; IF(BB5="","",TEXT(BB5,"h:mm")) &amp; """],"</f>
        <v>["別府", "", "8:00"],</v>
      </c>
      <c r="BD5" s="18" t="str">
        <f aca="false">IF(AND(LEN(BA5)&lt;&gt;0,LEN(BB5)&lt;&gt;0),((HOUR(BB5)*60)+MINUTE(BB5))-((HOUR(BA5)*60)+MINUTE(BA5)),"")</f>
        <v/>
      </c>
      <c r="BE5" s="16" t="s">
        <v>29</v>
      </c>
      <c r="BF5" s="16"/>
      <c r="BG5" s="16" t="n">
        <v>0.333333333333333</v>
      </c>
      <c r="BH5" s="1" t="str">
        <f aca="false">"[""" &amp; BE5 &amp; """, """ &amp; IF(BF5="","",TEXT(BF5,"h:mm")) &amp; """, """ &amp; IF(BG5="","",TEXT(BG5,"h:mm")) &amp; """],"</f>
        <v>["別府", "", "8:00"],</v>
      </c>
      <c r="BI5" s="18" t="str">
        <f aca="false">IF(AND(LEN(BF5)&lt;&gt;0,LEN(BG5)&lt;&gt;0),((HOUR(BG5)*60)+MINUTE(BG5))-((HOUR(BF5)*60)+MINUTE(BF5)),"")</f>
        <v/>
      </c>
      <c r="BJ5" s="16" t="s">
        <v>29</v>
      </c>
      <c r="BK5" s="16"/>
      <c r="BL5" s="16" t="n">
        <v>0.319444444444445</v>
      </c>
      <c r="BM5" s="1" t="str">
        <f aca="false">"[""" &amp; BJ5 &amp; """, """ &amp; IF(BK5="","",TEXT(BK5,"h:mm")) &amp; """, """ &amp; IF(BL5="","",TEXT(BL5,"h:mm")) &amp; """],"</f>
        <v>["別府", "", "7:40"],</v>
      </c>
      <c r="BN5" s="18" t="str">
        <f aca="false">IF(AND(LEN(BK5)&lt;&gt;0,LEN(BL5)&lt;&gt;0),((HOUR(BL5)*60)+MINUTE(BL5))-((HOUR(BK5)*60)+MINUTE(BK5)),"")</f>
        <v/>
      </c>
      <c r="BO5" s="16" t="s">
        <v>29</v>
      </c>
      <c r="BP5" s="16"/>
      <c r="BQ5" s="16" t="n">
        <v>0.333333333333333</v>
      </c>
      <c r="BR5" s="1" t="str">
        <f aca="false">"[""" &amp; BO5 &amp; """, """ &amp; IF(BP5="","",TEXT(BP5,"h:mm")) &amp; """, """ &amp; IF(BQ5="","",TEXT(BQ5,"h:mm")) &amp; """],"</f>
        <v>["別府", "", "8:00"],</v>
      </c>
      <c r="BS5" s="18" t="str">
        <f aca="false">IF(AND(LEN(BP5)&lt;&gt;0,LEN(BQ5)&lt;&gt;0),((HOUR(BQ5)*60)+MINUTE(BQ5))-((HOUR(BP5)*60)+MINUTE(BP5)),"")</f>
        <v/>
      </c>
      <c r="BT5" s="16" t="s">
        <v>29</v>
      </c>
      <c r="BU5" s="16"/>
      <c r="BV5" s="16" t="n">
        <v>0.333333333333333</v>
      </c>
      <c r="BW5" s="1" t="str">
        <f aca="false">"[""" &amp; BT5 &amp; """, """ &amp; IF(BU5="","",TEXT(BU5,"h:mm")) &amp; """, """ &amp; IF(BV5="","",TEXT(BV5,"h:mm")) &amp; """],"</f>
        <v>["別府", "", "8:00"],</v>
      </c>
      <c r="BX5" s="18" t="str">
        <f aca="false">IF(AND(LEN(BU5)&lt;&gt;0,LEN(BV5)&lt;&gt;0),((HOUR(BV5)*60)+MINUTE(BV5))-((HOUR(BU5)*60)+MINUTE(BU5)),"")</f>
        <v/>
      </c>
      <c r="BZ5" s="19" t="s">
        <v>30</v>
      </c>
      <c r="CB5" s="19" t="n">
        <v>0.385416666666667</v>
      </c>
      <c r="CC5" s="1" t="str">
        <f aca="false">"[""" &amp; BZ5 &amp; """, """ &amp; IF(CA5="","",TEXT(CA5,"h:mm")) &amp; """, """ &amp; IF(CB5="","",TEXT(CB5,"h:mm")) &amp; """],"</f>
        <v>["菱浦", "", "9:15"],</v>
      </c>
      <c r="CD5" s="18" t="str">
        <f aca="false">IF(AND(LEN(CA5)&lt;&gt;0,LEN(CB5)&lt;&gt;0),((HOUR(CB5)*60)+MINUTE(CB5))-((HOUR(CA5)*60)+MINUTE(CA5)),"")</f>
        <v/>
      </c>
      <c r="CE5" s="19" t="s">
        <v>30</v>
      </c>
      <c r="CG5" s="19" t="n">
        <v>0.645833333333333</v>
      </c>
      <c r="CH5" s="1" t="str">
        <f aca="false">"[""" &amp; CE5 &amp; """, """ &amp; IF(CF5="","",TEXT(CF5,"h:mm")) &amp; """, """ &amp; IF(CG5="","",TEXT(CG5,"h:mm")) &amp; """],"</f>
        <v>["菱浦", "", "15:30"],</v>
      </c>
      <c r="CI5" s="18" t="str">
        <f aca="false">IF(AND(LEN(CF5)&lt;&gt;0,LEN(CG5)&lt;&gt;0),((HOUR(CG5)*60)+MINUTE(CG5))-((HOUR(CF5)*60)+MINUTE(CF5)),"")</f>
        <v/>
      </c>
      <c r="CJ5" s="19" t="s">
        <v>30</v>
      </c>
      <c r="CK5" s="19"/>
      <c r="CL5" s="19" t="n">
        <v>0.3125</v>
      </c>
      <c r="CM5" s="1" t="str">
        <f aca="false">"[""" &amp; CJ5 &amp; """, """ &amp; IF(CK5="","",TEXT(CK5,"h:mm")) &amp; """, """ &amp; IF(CL5="","",TEXT(CL5,"h:mm")) &amp; """],"</f>
        <v>["菱浦", "", "7:30"],</v>
      </c>
      <c r="CN5" s="18" t="str">
        <f aca="false">IF(AND(LEN(CK5)&lt;&gt;0,LEN(CL5)&lt;&gt;0),((HOUR(CL5)*60)+MINUTE(CL5))-((HOUR(CK5)*60)+MINUTE(CK5)),"")</f>
        <v/>
      </c>
      <c r="CO5" s="19" t="s">
        <v>30</v>
      </c>
      <c r="CP5" s="19"/>
      <c r="CQ5" s="19" t="n">
        <v>0.3125</v>
      </c>
      <c r="CR5" s="1" t="str">
        <f aca="false">"[""" &amp; CO5 &amp; """, """ &amp; IF(CP5="","",TEXT(CP5,"h:mm")) &amp; """, """ &amp; IF(CQ5="","",TEXT(CQ5,"h:mm")) &amp; """],"</f>
        <v>["菱浦", "", "7:30"],</v>
      </c>
      <c r="CS5" s="18" t="str">
        <f aca="false">IF(AND(LEN(CP5)&lt;&gt;0,LEN(CQ5)&lt;&gt;0),((HOUR(CQ5)*60)+MINUTE(CQ5))-((HOUR(CP5)*60)+MINUTE(CP5)),"")</f>
        <v/>
      </c>
      <c r="CU5" s="20" t="s">
        <v>29</v>
      </c>
      <c r="CW5" s="20" t="n">
        <v>0.333333333333333</v>
      </c>
      <c r="CX5" s="1" t="str">
        <f aca="false">"[""" &amp; CU5 &amp; """, """ &amp; IF(CV5="","",TEXT(CV5,"h:mm")) &amp; """, """ &amp; IF(CW5="","",TEXT(CW5,"h:mm")) &amp; """],"</f>
        <v>["別府", "", "8:00"],</v>
      </c>
      <c r="CY5" s="18" t="str">
        <f aca="false">IF(AND(LEN(CV5)&lt;&gt;0,LEN(CW5)&lt;&gt;0),((HOUR(CW5)*60)+MINUTE(CW5))-((HOUR(CV5)*60)+MINUTE(CV5)),"")</f>
        <v/>
      </c>
      <c r="CZ5" s="21" t="s">
        <v>31</v>
      </c>
      <c r="DB5" s="22" t="n">
        <v>0.303472222222222</v>
      </c>
      <c r="DC5" s="1" t="str">
        <f aca="false">"[""" &amp; CZ5 &amp; """, """ &amp; IF(DA5="","",TEXT(DA5,"h:mm")) &amp; """, """ &amp; IF(DB5="","",TEXT(DB5,"h:mm")) &amp; """],"</f>
        <v>["来居", "", "7:17"],</v>
      </c>
      <c r="DD5" s="18" t="str">
        <f aca="false">IF(AND(LEN(DA5)&lt;&gt;0,LEN(DB5)&lt;&gt;0),((HOUR(DB5)*60)+MINUTE(DB5))-((HOUR(DA5)*60)+MINUTE(DA5)),"")</f>
        <v/>
      </c>
      <c r="DE5" s="21" t="s">
        <v>31</v>
      </c>
      <c r="DG5" s="22" t="n">
        <v>0.303472222222222</v>
      </c>
      <c r="DH5" s="1" t="str">
        <f aca="false">"[""" &amp; DE5 &amp; """, """ &amp; IF(DF5="","",TEXT(DF5,"h:mm")) &amp; """, """ &amp; IF(DG5="","",TEXT(DG5,"h:mm")) &amp; """],"</f>
        <v>["来居", "", "7:17"],</v>
      </c>
      <c r="DI5" s="18" t="str">
        <f aca="false">IF(AND(LEN(DF5)&lt;&gt;0,LEN(DG5)&lt;&gt;0),((HOUR(DG5)*60)+MINUTE(DG5))-((HOUR(DF5)*60)+MINUTE(DF5)),"")</f>
        <v/>
      </c>
      <c r="DJ5" s="21" t="s">
        <v>31</v>
      </c>
      <c r="DL5" s="22" t="n">
        <v>0.303472222222222</v>
      </c>
      <c r="DM5" s="1" t="str">
        <f aca="false">"[""" &amp; DJ5 &amp; """, """ &amp; IF(DK5="","",TEXT(DK5,"h:mm")) &amp; """, """ &amp; IF(DL5="","",TEXT(DL5,"h:mm")) &amp; """],"</f>
        <v>["来居", "", "7:17"],</v>
      </c>
      <c r="DN5" s="18" t="str">
        <f aca="false">IF(AND(LEN(DK5)&lt;&gt;0,LEN(DL5)&lt;&gt;0),((HOUR(DL5)*60)+MINUTE(DL5))-((HOUR(DK5)*60)+MINUTE(DK5)),"")</f>
        <v/>
      </c>
      <c r="DO5" s="21" t="s">
        <v>31</v>
      </c>
      <c r="DQ5" s="22" t="n">
        <v>0.303472222222222</v>
      </c>
      <c r="DR5" s="1" t="str">
        <f aca="false">"[""" &amp; DO5 &amp; """, """ &amp; IF(DP5="","",TEXT(DP5,"h:mm")) &amp; """, """ &amp; IF(DQ5="","",TEXT(DQ5,"h:mm")) &amp; """],"</f>
        <v>["来居", "", "7:17"],</v>
      </c>
      <c r="DS5" s="18" t="str">
        <f aca="false">IF(AND(LEN(DP5)&lt;&gt;0,LEN(DQ5)&lt;&gt;0),((HOUR(DQ5)*60)+MINUTE(DQ5))-((HOUR(DP5)*60)+MINUTE(DP5)),"")</f>
        <v/>
      </c>
      <c r="DT5" s="20" t="s">
        <v>29</v>
      </c>
      <c r="DV5" s="20" t="n">
        <v>0.333333333333333</v>
      </c>
      <c r="DW5" s="1" t="str">
        <f aca="false">"[""" &amp; DT5 &amp; """, """ &amp; IF(DU5="","",TEXT(DU5,"h:mm")) &amp; """, """ &amp; IF(DV5="","",TEXT(DV5,"h:mm")) &amp; """],"</f>
        <v>["別府", "", "8:00"],</v>
      </c>
      <c r="DX5" s="18" t="str">
        <f aca="false">IF(AND(LEN(DU5)&lt;&gt;0,LEN(DV5)&lt;&gt;0),((HOUR(DV5)*60)+MINUTE(DV5))-((HOUR(DU5)*60)+MINUTE(DU5)),"")</f>
        <v/>
      </c>
      <c r="DY5" s="19" t="s">
        <v>30</v>
      </c>
      <c r="DZ5" s="19"/>
      <c r="EA5" s="19" t="n">
        <v>0.317361111111111</v>
      </c>
      <c r="EB5" s="1" t="str">
        <f aca="false">"[""" &amp; DY5 &amp; """, """ &amp; IF(DZ5="","",TEXT(DZ5,"h:mm")) &amp; """, """ &amp; IF(EA5="","",TEXT(EA5,"h:mm")) &amp; """],"</f>
        <v>["菱浦", "", "7:37"],</v>
      </c>
      <c r="EC5" s="18" t="str">
        <f aca="false">IF(AND(LEN(DZ5)&lt;&gt;0,LEN(EA5)&lt;&gt;0),((HOUR(EA5)*60)+MINUTE(EA5))-((HOUR(DZ5)*60)+MINUTE(DZ5)),"")</f>
        <v/>
      </c>
      <c r="ED5" s="19" t="s">
        <v>30</v>
      </c>
      <c r="EE5" s="19"/>
      <c r="EF5" s="19" t="n">
        <v>0.317361111111111</v>
      </c>
      <c r="EG5" s="1" t="str">
        <f aca="false">"[""" &amp; ED5 &amp; """, """ &amp; IF(EE5="","",TEXT(EE5,"h:mm")) &amp; """, """ &amp; IF(EF5="","",TEXT(EF5,"h:mm")) &amp; """],"</f>
        <v>["菱浦", "", "7:37"],</v>
      </c>
      <c r="EH5" s="18" t="str">
        <f aca="false">IF(AND(LEN(EE5)&lt;&gt;0,LEN(EF5)&lt;&gt;0),((HOUR(EF5)*60)+MINUTE(EF5))-((HOUR(EE5)*60)+MINUTE(EE5)),"")</f>
        <v/>
      </c>
      <c r="EI5" s="19" t="s">
        <v>30</v>
      </c>
      <c r="EJ5" s="19"/>
      <c r="EK5" s="19" t="n">
        <v>0.317361111111111</v>
      </c>
      <c r="EL5" s="1" t="str">
        <f aca="false">"[""" &amp; EI5 &amp; """, """ &amp; IF(EJ5="","",TEXT(EJ5,"h:mm")) &amp; """, """ &amp; IF(EK5="","",TEXT(EK5,"h:mm")) &amp; """],"</f>
        <v>["菱浦", "", "7:37"],</v>
      </c>
      <c r="EM5" s="18" t="str">
        <f aca="false">IF(AND(LEN(EJ5)&lt;&gt;0,LEN(EK5)&lt;&gt;0),((HOUR(EK5)*60)+MINUTE(EK5))-((HOUR(EJ5)*60)+MINUTE(EJ5)),"")</f>
        <v/>
      </c>
      <c r="EN5" s="19" t="s">
        <v>30</v>
      </c>
      <c r="EO5" s="19"/>
      <c r="EP5" s="19" t="n">
        <v>0.317361111111111</v>
      </c>
      <c r="EQ5" s="1" t="str">
        <f aca="false">"[""" &amp; EN5 &amp; """, """ &amp; IF(EO5="","",TEXT(EO5,"h:mm")) &amp; """, """ &amp; IF(EP5="","",TEXT(EP5,"h:mm")) &amp; """],"</f>
        <v>["菱浦", "", "7:37"],</v>
      </c>
      <c r="ER5" s="18" t="str">
        <f aca="false">IF(AND(LEN(EO5)&lt;&gt;0,LEN(EP5)&lt;&gt;0),((HOUR(EP5)*60)+MINUTE(EP5))-((HOUR(EO5)*60)+MINUTE(EO5)),"")</f>
        <v/>
      </c>
    </row>
    <row r="6" customFormat="false" ht="18" hidden="false" customHeight="false" outlineLevel="0" collapsed="false">
      <c r="A6" s="16" t="s">
        <v>28</v>
      </c>
      <c r="B6" s="17" t="n">
        <v>0.475694444444444</v>
      </c>
      <c r="C6" s="17" t="n">
        <v>0.5</v>
      </c>
      <c r="D6" s="1" t="str">
        <f aca="false">"[""" &amp; A6 &amp; """, """ &amp; IF(B6="","",TEXT(B6,"h:mm")) &amp; """, """ &amp; IF(C6="","",TEXT(C6,"h:mm")) &amp; """],"</f>
        <v>["西郷", "11:25", "12:00"],</v>
      </c>
      <c r="E6" s="18" t="n">
        <f aca="false">IF(AND(LEN(B6)&lt;&gt;0,LEN(C6)&lt;&gt;0),((HOUR(C6)*60)+MINUTE(C6))-((HOUR(B6)*60)+MINUTE(B6)),"")</f>
        <v>35</v>
      </c>
      <c r="F6" s="16" t="s">
        <v>30</v>
      </c>
      <c r="G6" s="17" t="n">
        <v>0.402777777777778</v>
      </c>
      <c r="H6" s="16" t="n">
        <v>0.409722222222222</v>
      </c>
      <c r="I6" s="1" t="str">
        <f aca="false">"[""" &amp; F6 &amp; """, """ &amp; IF(G6="","",TEXT(G6,"h:mm")) &amp; """, """ &amp; IF(H6="","",TEXT(H6,"h:mm")) &amp; """],"</f>
        <v>["菱浦", "9:40", "9:50"],</v>
      </c>
      <c r="J6" s="18" t="n">
        <f aca="false">IF(AND(LEN(G6)&lt;&gt;0,LEN(H6)&lt;&gt;0),((HOUR(H6)*60)+MINUTE(H6))-((HOUR(G6)*60)+MINUTE(G6)),"")</f>
        <v>10</v>
      </c>
      <c r="K6" s="16" t="s">
        <v>28</v>
      </c>
      <c r="L6" s="17" t="n">
        <v>0.475694444444444</v>
      </c>
      <c r="M6" s="17" t="n">
        <v>0.5</v>
      </c>
      <c r="N6" s="1" t="str">
        <f aca="false">"[""" &amp; K6 &amp; """, """ &amp; IF(L6="","",TEXT(L6,"h:mm")) &amp; """, """ &amp; IF(M6="","",TEXT(M6,"h:mm")) &amp; """],"</f>
        <v>["西郷", "11:25", "12:00"],</v>
      </c>
      <c r="O6" s="18" t="n">
        <f aca="false">IF(AND(LEN(L6)&lt;&gt;0,LEN(M6)&lt;&gt;0),((HOUR(M6)*60)+MINUTE(M6))-((HOUR(L6)*60)+MINUTE(L6)),"")</f>
        <v>35</v>
      </c>
      <c r="P6" s="16" t="s">
        <v>30</v>
      </c>
      <c r="Q6" s="17" t="n">
        <v>0.402777777777778</v>
      </c>
      <c r="R6" s="16" t="n">
        <v>0.409722222222222</v>
      </c>
      <c r="S6" s="1" t="str">
        <f aca="false">"[""" &amp; P6 &amp; """, """ &amp; IF(Q6="","",TEXT(Q6,"h:mm")) &amp; """, """ &amp; IF(R6="","",TEXT(R6,"h:mm")) &amp; """],"</f>
        <v>["菱浦", "9:40", "9:50"],</v>
      </c>
      <c r="T6" s="18" t="n">
        <f aca="false">IF(AND(LEN(Q6)&lt;&gt;0,LEN(R6)&lt;&gt;0),((HOUR(R6)*60)+MINUTE(R6))-((HOUR(Q6)*60)+MINUTE(Q6)),"")</f>
        <v>10</v>
      </c>
      <c r="U6" s="16" t="s">
        <v>28</v>
      </c>
      <c r="V6" s="17" t="n">
        <v>0.475694444444444</v>
      </c>
      <c r="W6" s="17" t="n">
        <v>0.503472222222222</v>
      </c>
      <c r="X6" s="1" t="str">
        <f aca="false">"[""" &amp; U6 &amp; """, """ &amp; IF(V6="","",TEXT(V6,"h:mm")) &amp; """, """ &amp; IF(W6="","",TEXT(W6,"h:mm")) &amp; """],"</f>
        <v>["西郷", "11:25", "12:05"],</v>
      </c>
      <c r="Y6" s="18" t="n">
        <f aca="false">IF(AND(LEN(V6)&lt;&gt;0,LEN(W6)&lt;&gt;0),((HOUR(W6)*60)+MINUTE(W6))-((HOUR(V6)*60)+MINUTE(V6)),"")</f>
        <v>40</v>
      </c>
      <c r="Z6" s="16" t="s">
        <v>31</v>
      </c>
      <c r="AA6" s="17" t="n">
        <v>0.479166666666667</v>
      </c>
      <c r="AB6" s="16" t="n">
        <v>0.482638888888889</v>
      </c>
      <c r="AC6" s="1" t="str">
        <f aca="false">"[""" &amp; Z6 &amp; """, """ &amp; IF(AA6="","",TEXT(AA6,"h:mm")) &amp; """, """ &amp; IF(AB6="","",TEXT(AB6,"h:mm")) &amp; """],"</f>
        <v>["来居", "11:30", "11:35"],</v>
      </c>
      <c r="AD6" s="18" t="n">
        <f aca="false">IF(AND(LEN(AA6)&lt;&gt;0,LEN(AB6)&lt;&gt;0),((HOUR(AB6)*60)+MINUTE(AB6))-((HOUR(AA6)*60)+MINUTE(AA6)),"")</f>
        <v>5</v>
      </c>
      <c r="AE6" s="16" t="s">
        <v>30</v>
      </c>
      <c r="AF6" s="17" t="n">
        <v>0.402777777777778</v>
      </c>
      <c r="AG6" s="16" t="n">
        <v>0.409722222222222</v>
      </c>
      <c r="AH6" s="1" t="str">
        <f aca="false">"[""" &amp; AE6 &amp; """, """ &amp; IF(AF6="","",TEXT(AF6,"h:mm")) &amp; """, """ &amp; IF(AG6="","",TEXT(AG6,"h:mm")) &amp; """],"</f>
        <v>["菱浦", "9:40", "9:50"],</v>
      </c>
      <c r="AI6" s="18" t="n">
        <f aca="false">IF(AND(LEN(AF6)&lt;&gt;0,LEN(AG6)&lt;&gt;0),((HOUR(AG6)*60)+MINUTE(AG6))-((HOUR(AF6)*60)+MINUTE(AF6)),"")</f>
        <v>10</v>
      </c>
      <c r="AJ6" s="16" t="s">
        <v>28</v>
      </c>
      <c r="AK6" s="17" t="n">
        <v>0.475694444444444</v>
      </c>
      <c r="AL6" s="17" t="n">
        <v>0.496527777777778</v>
      </c>
      <c r="AM6" s="1" t="str">
        <f aca="false">"[""" &amp; AJ6 &amp; """, """ &amp; IF(AK6="","",TEXT(AK6,"h:mm")) &amp; """, """ &amp; IF(AL6="","",TEXT(AL6,"h:mm")) &amp; """],"</f>
        <v>["西郷", "11:25", "11:55"],</v>
      </c>
      <c r="AN6" s="18" t="n">
        <f aca="false">IF(AND(LEN(AK6)&lt;&gt;0,LEN(AL6)&lt;&gt;0),((HOUR(AL6)*60)+MINUTE(AL6))-((HOUR(AK6)*60)+MINUTE(AK6)),"")</f>
        <v>30</v>
      </c>
      <c r="AO6" s="16" t="s">
        <v>31</v>
      </c>
      <c r="AP6" s="17" t="n">
        <v>0.479166666666667</v>
      </c>
      <c r="AQ6" s="16" t="n">
        <v>0.482638888888889</v>
      </c>
      <c r="AR6" s="1" t="str">
        <f aca="false">"[""" &amp; AO6 &amp; """, """ &amp; IF(AP6="","",TEXT(AP6,"h:mm")) &amp; """, """ &amp; IF(AQ6="","",TEXT(AQ6,"h:mm")) &amp; """],"</f>
        <v>["来居", "11:30", "11:35"],</v>
      </c>
      <c r="AS6" s="18" t="n">
        <f aca="false">IF(AND(LEN(AP6)&lt;&gt;0,LEN(AQ6)&lt;&gt;0),((HOUR(AQ6)*60)+MINUTE(AQ6))-((HOUR(AP6)*60)+MINUTE(AP6)),"")</f>
        <v>5</v>
      </c>
      <c r="AT6" s="16" t="s">
        <v>30</v>
      </c>
      <c r="AU6" s="17" t="n">
        <v>0.402777777777778</v>
      </c>
      <c r="AV6" s="16" t="n">
        <v>0.409722222222222</v>
      </c>
      <c r="AW6" s="1" t="str">
        <f aca="false">"[""" &amp; AT6 &amp; """, """ &amp; IF(AU6="","",TEXT(AU6,"h:mm")) &amp; """, """ &amp; IF(AV6="","",TEXT(AV6,"h:mm")) &amp; """],"</f>
        <v>["菱浦", "9:40", "9:50"],</v>
      </c>
      <c r="AX6" s="18" t="n">
        <f aca="false">IF(AND(LEN(AU6)&lt;&gt;0,LEN(AV6)&lt;&gt;0),((HOUR(AV6)*60)+MINUTE(AV6))-((HOUR(AU6)*60)+MINUTE(AU6)),"")</f>
        <v>10</v>
      </c>
      <c r="AZ6" s="16" t="s">
        <v>30</v>
      </c>
      <c r="BA6" s="16" t="n">
        <v>0.340277777777778</v>
      </c>
      <c r="BB6" s="17" t="n">
        <v>0.343055555555556</v>
      </c>
      <c r="BC6" s="1" t="str">
        <f aca="false">"[""" &amp; AZ6 &amp; """, """ &amp; IF(BA6="","",TEXT(BA6,"h:mm")) &amp; """, """ &amp; IF(BB6="","",TEXT(BB6,"h:mm")) &amp; """],"</f>
        <v>["菱浦", "8:10", "8:14"],</v>
      </c>
      <c r="BD6" s="18" t="n">
        <f aca="false">IF(AND(LEN(BA6)&lt;&gt;0,LEN(BB6)&lt;&gt;0),((HOUR(BB6)*60)+MINUTE(BB6))-((HOUR(BA6)*60)+MINUTE(BA6)),"")</f>
        <v>4</v>
      </c>
      <c r="BE6" s="16" t="s">
        <v>30</v>
      </c>
      <c r="BF6" s="16" t="n">
        <v>0.340277777777778</v>
      </c>
      <c r="BG6" s="17" t="n">
        <v>0.343055555555556</v>
      </c>
      <c r="BH6" s="1" t="str">
        <f aca="false">"[""" &amp; BE6 &amp; """, """ &amp; IF(BF6="","",TEXT(BF6,"h:mm")) &amp; """, """ &amp; IF(BG6="","",TEXT(BG6,"h:mm")) &amp; """],"</f>
        <v>["菱浦", "8:10", "8:14"],</v>
      </c>
      <c r="BI6" s="18" t="n">
        <f aca="false">IF(AND(LEN(BF6)&lt;&gt;0,LEN(BG6)&lt;&gt;0),((HOUR(BG6)*60)+MINUTE(BG6))-((HOUR(BF6)*60)+MINUTE(BF6)),"")</f>
        <v>4</v>
      </c>
      <c r="BJ6" s="16" t="s">
        <v>30</v>
      </c>
      <c r="BK6" s="16" t="n">
        <v>0.326388888888889</v>
      </c>
      <c r="BL6" s="17" t="n">
        <v>0.329166666666667</v>
      </c>
      <c r="BM6" s="1" t="str">
        <f aca="false">"[""" &amp; BJ6 &amp; """, """ &amp; IF(BK6="","",TEXT(BK6,"h:mm")) &amp; """, """ &amp; IF(BL6="","",TEXT(BL6,"h:mm")) &amp; """],"</f>
        <v>["菱浦", "7:50", "7:54"],</v>
      </c>
      <c r="BN6" s="18" t="n">
        <f aca="false">IF(AND(LEN(BK6)&lt;&gt;0,LEN(BL6)&lt;&gt;0),((HOUR(BL6)*60)+MINUTE(BL6))-((HOUR(BK6)*60)+MINUTE(BK6)),"")</f>
        <v>4</v>
      </c>
      <c r="BO6" s="16" t="s">
        <v>30</v>
      </c>
      <c r="BP6" s="16" t="n">
        <v>0.340277777777778</v>
      </c>
      <c r="BQ6" s="17" t="n">
        <v>0.343055555555556</v>
      </c>
      <c r="BR6" s="1" t="str">
        <f aca="false">"[""" &amp; BO6 &amp; """, """ &amp; IF(BP6="","",TEXT(BP6,"h:mm")) &amp; """, """ &amp; IF(BQ6="","",TEXT(BQ6,"h:mm")) &amp; """],"</f>
        <v>["菱浦", "8:10", "8:14"],</v>
      </c>
      <c r="BS6" s="18" t="n">
        <f aca="false">IF(AND(LEN(BP6)&lt;&gt;0,LEN(BQ6)&lt;&gt;0),((HOUR(BQ6)*60)+MINUTE(BQ6))-((HOUR(BP6)*60)+MINUTE(BP6)),"")</f>
        <v>4</v>
      </c>
      <c r="BT6" s="16" t="s">
        <v>30</v>
      </c>
      <c r="BU6" s="16" t="n">
        <v>0.340277777777778</v>
      </c>
      <c r="BV6" s="17" t="n">
        <v>0.343055555555556</v>
      </c>
      <c r="BW6" s="1" t="str">
        <f aca="false">"[""" &amp; BT6 &amp; """, """ &amp; IF(BU6="","",TEXT(BU6,"h:mm")) &amp; """, """ &amp; IF(BV6="","",TEXT(BV6,"h:mm")) &amp; """],"</f>
        <v>["菱浦", "8:10", "8:14"],</v>
      </c>
      <c r="BX6" s="18" t="n">
        <f aca="false">IF(AND(LEN(BU6)&lt;&gt;0,LEN(BV6)&lt;&gt;0),((HOUR(BV6)*60)+MINUTE(BV6))-((HOUR(BU6)*60)+MINUTE(BU6)),"")</f>
        <v>4</v>
      </c>
      <c r="BZ6" s="20" t="s">
        <v>29</v>
      </c>
      <c r="CA6" s="20" t="n">
        <v>0.395833333333333</v>
      </c>
      <c r="CB6" s="20" t="n">
        <v>0.399305555555556</v>
      </c>
      <c r="CC6" s="1" t="str">
        <f aca="false">"[""" &amp; BZ6 &amp; """, """ &amp; IF(CA6="","",TEXT(CA6,"h:mm")) &amp; """, """ &amp; IF(CB6="","",TEXT(CB6,"h:mm")) &amp; """],"</f>
        <v>["別府", "9:30", "9:35"],</v>
      </c>
      <c r="CD6" s="18" t="n">
        <f aca="false">IF(AND(LEN(CA6)&lt;&gt;0,LEN(CB6)&lt;&gt;0),((HOUR(CB6)*60)+MINUTE(CB6))-((HOUR(CA6)*60)+MINUTE(CA6)),"")</f>
        <v>5</v>
      </c>
      <c r="CE6" s="20" t="s">
        <v>29</v>
      </c>
      <c r="CF6" s="20" t="n">
        <v>0.65625</v>
      </c>
      <c r="CG6" s="20" t="n">
        <v>0.659722222222222</v>
      </c>
      <c r="CH6" s="1" t="str">
        <f aca="false">"[""" &amp; CE6 &amp; """, """ &amp; IF(CF6="","",TEXT(CF6,"h:mm")) &amp; """, """ &amp; IF(CG6="","",TEXT(CG6,"h:mm")) &amp; """],"</f>
        <v>["別府", "15:45", "15:50"],</v>
      </c>
      <c r="CI6" s="18" t="n">
        <f aca="false">IF(AND(LEN(CF6)&lt;&gt;0,LEN(CG6)&lt;&gt;0),((HOUR(CG6)*60)+MINUTE(CG6))-((HOUR(CF6)*60)+MINUTE(CF6)),"")</f>
        <v>5</v>
      </c>
      <c r="CJ6" s="20" t="s">
        <v>29</v>
      </c>
      <c r="CK6" s="20" t="n">
        <v>0.322916666666667</v>
      </c>
      <c r="CL6" s="20" t="n">
        <v>0.326388888888889</v>
      </c>
      <c r="CM6" s="1" t="str">
        <f aca="false">"[""" &amp; CJ6 &amp; """, """ &amp; IF(CK6="","",TEXT(CK6,"h:mm")) &amp; """, """ &amp; IF(CL6="","",TEXT(CL6,"h:mm")) &amp; """],"</f>
        <v>["別府", "7:45", "7:50"],</v>
      </c>
      <c r="CN6" s="18" t="n">
        <f aca="false">IF(AND(LEN(CK6)&lt;&gt;0,LEN(CL6)&lt;&gt;0),((HOUR(CL6)*60)+MINUTE(CL6))-((HOUR(CK6)*60)+MINUTE(CK6)),"")</f>
        <v>5</v>
      </c>
      <c r="CO6" s="20" t="s">
        <v>29</v>
      </c>
      <c r="CP6" s="20" t="n">
        <v>0.322916666666667</v>
      </c>
      <c r="CQ6" s="20" t="n">
        <v>0.326388888888889</v>
      </c>
      <c r="CR6" s="1" t="str">
        <f aca="false">"[""" &amp; CO6 &amp; """, """ &amp; IF(CP6="","",TEXT(CP6,"h:mm")) &amp; """, """ &amp; IF(CQ6="","",TEXT(CQ6,"h:mm")) &amp; """],"</f>
        <v>["別府", "7:45", "7:50"],</v>
      </c>
      <c r="CS6" s="18" t="n">
        <f aca="false">IF(AND(LEN(CP6)&lt;&gt;0,LEN(CQ6)&lt;&gt;0),((HOUR(CQ6)*60)+MINUTE(CQ6))-((HOUR(CP6)*60)+MINUTE(CP6)),"")</f>
        <v>5</v>
      </c>
      <c r="CU6" s="19" t="s">
        <v>30</v>
      </c>
      <c r="CV6" s="19" t="n">
        <v>0.338888888888889</v>
      </c>
      <c r="CW6" s="19" t="n">
        <v>0.340277777777778</v>
      </c>
      <c r="CX6" s="1" t="str">
        <f aca="false">"[""" &amp; CU6 &amp; """, """ &amp; IF(CV6="","",TEXT(CV6,"h:mm")) &amp; """, """ &amp; IF(CW6="","",TEXT(CW6,"h:mm")) &amp; """],"</f>
        <v>["菱浦", "8:08", "8:10"],</v>
      </c>
      <c r="CY6" s="18" t="n">
        <f aca="false">IF(AND(LEN(CV6)&lt;&gt;0,LEN(CW6)&lt;&gt;0),((HOUR(CW6)*60)+MINUTE(CW6))-((HOUR(CV6)*60)+MINUTE(CV6)),"")</f>
        <v>2</v>
      </c>
      <c r="CZ6" s="19" t="s">
        <v>30</v>
      </c>
      <c r="DA6" s="19" t="n">
        <v>0.315972222222222</v>
      </c>
      <c r="DB6" s="19" t="n">
        <v>0.317361111111111</v>
      </c>
      <c r="DC6" s="1" t="str">
        <f aca="false">"[""" &amp; CZ6 &amp; """, """ &amp; IF(DA6="","",TEXT(DA6,"h:mm")) &amp; """, """ &amp; IF(DB6="","",TEXT(DB6,"h:mm")) &amp; """],"</f>
        <v>["菱浦", "7:35", "7:37"],</v>
      </c>
      <c r="DD6" s="18" t="n">
        <f aca="false">IF(AND(LEN(DA6)&lt;&gt;0,LEN(DB6)&lt;&gt;0),((HOUR(DB6)*60)+MINUTE(DB6))-((HOUR(DA6)*60)+MINUTE(DA6)),"")</f>
        <v>2</v>
      </c>
      <c r="DE6" s="19" t="s">
        <v>30</v>
      </c>
      <c r="DF6" s="19" t="n">
        <v>0.315972222222222</v>
      </c>
      <c r="DG6" s="19" t="n">
        <v>0.317361111111111</v>
      </c>
      <c r="DH6" s="1" t="str">
        <f aca="false">"[""" &amp; DE6 &amp; """, """ &amp; IF(DF6="","",TEXT(DF6,"h:mm")) &amp; """, """ &amp; IF(DG6="","",TEXT(DG6,"h:mm")) &amp; """],"</f>
        <v>["菱浦", "7:35", "7:37"],</v>
      </c>
      <c r="DI6" s="18" t="n">
        <f aca="false">IF(AND(LEN(DF6)&lt;&gt;0,LEN(DG6)&lt;&gt;0),((HOUR(DG6)*60)+MINUTE(DG6))-((HOUR(DF6)*60)+MINUTE(DF6)),"")</f>
        <v>2</v>
      </c>
      <c r="DJ6" s="19" t="s">
        <v>30</v>
      </c>
      <c r="DK6" s="19" t="n">
        <v>0.315972222222222</v>
      </c>
      <c r="DL6" s="19" t="n">
        <v>0.317361111111111</v>
      </c>
      <c r="DM6" s="1" t="str">
        <f aca="false">"[""" &amp; DJ6 &amp; """, """ &amp; IF(DK6="","",TEXT(DK6,"h:mm")) &amp; """, """ &amp; IF(DL6="","",TEXT(DL6,"h:mm")) &amp; """],"</f>
        <v>["菱浦", "7:35", "7:37"],</v>
      </c>
      <c r="DN6" s="18" t="n">
        <f aca="false">IF(AND(LEN(DK6)&lt;&gt;0,LEN(DL6)&lt;&gt;0),((HOUR(DL6)*60)+MINUTE(DL6))-((HOUR(DK6)*60)+MINUTE(DK6)),"")</f>
        <v>2</v>
      </c>
      <c r="DO6" s="19" t="s">
        <v>30</v>
      </c>
      <c r="DP6" s="19" t="n">
        <v>0.315972222222222</v>
      </c>
      <c r="DQ6" s="19" t="n">
        <v>0.317361111111111</v>
      </c>
      <c r="DR6" s="1" t="str">
        <f aca="false">"[""" &amp; DO6 &amp; """, """ &amp; IF(DP6="","",TEXT(DP6,"h:mm")) &amp; """, """ &amp; IF(DQ6="","",TEXT(DQ6,"h:mm")) &amp; """],"</f>
        <v>["菱浦", "7:35", "7:37"],</v>
      </c>
      <c r="DS6" s="18" t="n">
        <f aca="false">IF(AND(LEN(DP6)&lt;&gt;0,LEN(DQ6)&lt;&gt;0),((HOUR(DQ6)*60)+MINUTE(DQ6))-((HOUR(DP6)*60)+MINUTE(DP6)),"")</f>
        <v>2</v>
      </c>
      <c r="DT6" s="19" t="s">
        <v>30</v>
      </c>
      <c r="DU6" s="19" t="n">
        <v>0.338888888888889</v>
      </c>
      <c r="DV6" s="19" t="n">
        <v>0.340277777777778</v>
      </c>
      <c r="DW6" s="1" t="str">
        <f aca="false">"[""" &amp; DT6 &amp; """, """ &amp; IF(DU6="","",TEXT(DU6,"h:mm")) &amp; """, """ &amp; IF(DV6="","",TEXT(DV6,"h:mm")) &amp; """],"</f>
        <v>["菱浦", "8:08", "8:10"],</v>
      </c>
      <c r="DX6" s="18" t="n">
        <f aca="false">IF(AND(LEN(DU6)&lt;&gt;0,LEN(DV6)&lt;&gt;0),((HOUR(DV6)*60)+MINUTE(DV6))-((HOUR(DU6)*60)+MINUTE(DU6)),"")</f>
        <v>2</v>
      </c>
      <c r="DY6" s="20" t="s">
        <v>29</v>
      </c>
      <c r="DZ6" s="20" t="n">
        <v>0.322222222222222</v>
      </c>
      <c r="EA6" s="20" t="n">
        <v>0.350694444444444</v>
      </c>
      <c r="EB6" s="1" t="str">
        <f aca="false">"[""" &amp; DY6 &amp; """, """ &amp; IF(DZ6="","",TEXT(DZ6,"h:mm")) &amp; """, """ &amp; IF(EA6="","",TEXT(EA6,"h:mm")) &amp; """],"</f>
        <v>["別府", "7:44", "8:25"],</v>
      </c>
      <c r="EC6" s="18" t="n">
        <f aca="false">IF(AND(LEN(DZ6)&lt;&gt;0,LEN(EA6)&lt;&gt;0),((HOUR(EA6)*60)+MINUTE(EA6))-((HOUR(DZ6)*60)+MINUTE(DZ6)),"")</f>
        <v>41</v>
      </c>
      <c r="ED6" s="20" t="s">
        <v>29</v>
      </c>
      <c r="EE6" s="20" t="n">
        <v>0.322222222222222</v>
      </c>
      <c r="EF6" s="20" t="n">
        <v>0.350694444444444</v>
      </c>
      <c r="EG6" s="1" t="str">
        <f aca="false">"[""" &amp; ED6 &amp; """, """ &amp; IF(EE6="","",TEXT(EE6,"h:mm")) &amp; """, """ &amp; IF(EF6="","",TEXT(EF6,"h:mm")) &amp; """],"</f>
        <v>["別府", "7:44", "8:25"],</v>
      </c>
      <c r="EH6" s="18" t="n">
        <f aca="false">IF(AND(LEN(EE6)&lt;&gt;0,LEN(EF6)&lt;&gt;0),((HOUR(EF6)*60)+MINUTE(EF6))-((HOUR(EE6)*60)+MINUTE(EE6)),"")</f>
        <v>41</v>
      </c>
      <c r="EI6" s="20" t="s">
        <v>29</v>
      </c>
      <c r="EJ6" s="20" t="n">
        <v>0.322222222222222</v>
      </c>
      <c r="EK6" s="20" t="n">
        <v>0.350694444444444</v>
      </c>
      <c r="EL6" s="1" t="str">
        <f aca="false">"[""" &amp; EI6 &amp; """, """ &amp; IF(EJ6="","",TEXT(EJ6,"h:mm")) &amp; """, """ &amp; IF(EK6="","",TEXT(EK6,"h:mm")) &amp; """],"</f>
        <v>["別府", "7:44", "8:25"],</v>
      </c>
      <c r="EM6" s="18" t="n">
        <f aca="false">IF(AND(LEN(EJ6)&lt;&gt;0,LEN(EK6)&lt;&gt;0),((HOUR(EK6)*60)+MINUTE(EK6))-((HOUR(EJ6)*60)+MINUTE(EJ6)),"")</f>
        <v>41</v>
      </c>
      <c r="EN6" s="20" t="s">
        <v>29</v>
      </c>
      <c r="EO6" s="20" t="n">
        <v>0.322222222222222</v>
      </c>
      <c r="EP6" s="20" t="n">
        <v>0.350694444444444</v>
      </c>
      <c r="EQ6" s="1" t="str">
        <f aca="false">"[""" &amp; EN6 &amp; """, """ &amp; IF(EO6="","",TEXT(EO6,"h:mm")) &amp; """, """ &amp; IF(EP6="","",TEXT(EP6,"h:mm")) &amp; """],"</f>
        <v>["別府", "7:44", "8:25"],</v>
      </c>
      <c r="ER6" s="18" t="n">
        <f aca="false">IF(AND(LEN(EO6)&lt;&gt;0,LEN(EP6)&lt;&gt;0),((HOUR(EP6)*60)+MINUTE(EP6))-((HOUR(EO6)*60)+MINUTE(EO6)),"")</f>
        <v>41</v>
      </c>
    </row>
    <row r="7" customFormat="false" ht="18" hidden="false" customHeight="false" outlineLevel="0" collapsed="false">
      <c r="A7" s="16" t="s">
        <v>30</v>
      </c>
      <c r="B7" s="17" t="n">
        <v>0.548611111111111</v>
      </c>
      <c r="C7" s="16" t="n">
        <v>0.5625</v>
      </c>
      <c r="D7" s="1" t="str">
        <f aca="false">"[""" &amp; A7 &amp; """, """ &amp; IF(B7="","",TEXT(B7,"h:mm")) &amp; """, """ &amp; IF(C7="","",TEXT(C7,"h:mm")) &amp; """],"</f>
        <v>["菱浦", "13:10", "13:30"],</v>
      </c>
      <c r="E7" s="18" t="n">
        <f aca="false">IF(AND(LEN(B7)&lt;&gt;0,LEN(C7)&lt;&gt;0),((HOUR(C7)*60)+MINUTE(C7))-((HOUR(B7)*60)+MINUTE(B7)),"")</f>
        <v>20</v>
      </c>
      <c r="F7" s="16" t="s">
        <v>29</v>
      </c>
      <c r="G7" s="16" t="n">
        <v>0.420138888888889</v>
      </c>
      <c r="H7" s="16" t="n">
        <v>0.430555555555556</v>
      </c>
      <c r="I7" s="1" t="str">
        <f aca="false">"[""" &amp; F7 &amp; """, """ &amp; IF(G7="","",TEXT(G7,"h:mm")) &amp; """, """ &amp; IF(H7="","",TEXT(H7,"h:mm")) &amp; """],"</f>
        <v>["別府", "10:05", "10:20"],</v>
      </c>
      <c r="J7" s="18" t="n">
        <f aca="false">IF(AND(LEN(G7)&lt;&gt;0,LEN(H7)&lt;&gt;0),((HOUR(H7)*60)+MINUTE(H7))-((HOUR(G7)*60)+MINUTE(G7)),"")</f>
        <v>15</v>
      </c>
      <c r="K7" s="16" t="s">
        <v>30</v>
      </c>
      <c r="L7" s="17" t="n">
        <v>0.548611111111111</v>
      </c>
      <c r="M7" s="16" t="n">
        <v>0.5625</v>
      </c>
      <c r="N7" s="1" t="str">
        <f aca="false">"[""" &amp; K7 &amp; """, """ &amp; IF(L7="","",TEXT(L7,"h:mm")) &amp; """, """ &amp; IF(M7="","",TEXT(M7,"h:mm")) &amp; """],"</f>
        <v>["菱浦", "13:10", "13:30"],</v>
      </c>
      <c r="O7" s="18" t="n">
        <f aca="false">IF(AND(LEN(L7)&lt;&gt;0,LEN(M7)&lt;&gt;0),((HOUR(M7)*60)+MINUTE(M7))-((HOUR(L7)*60)+MINUTE(L7)),"")</f>
        <v>20</v>
      </c>
      <c r="P7" s="16" t="s">
        <v>29</v>
      </c>
      <c r="Q7" s="16" t="n">
        <v>0.420138888888889</v>
      </c>
      <c r="R7" s="16" t="n">
        <v>0.430555555555556</v>
      </c>
      <c r="S7" s="1" t="str">
        <f aca="false">"[""" &amp; P7 &amp; """, """ &amp; IF(Q7="","",TEXT(Q7,"h:mm")) &amp; """, """ &amp; IF(R7="","",TEXT(R7,"h:mm")) &amp; """],"</f>
        <v>["別府", "10:05", "10:20"],</v>
      </c>
      <c r="T7" s="18" t="n">
        <f aca="false">IF(AND(LEN(Q7)&lt;&gt;0,LEN(R7)&lt;&gt;0),((HOUR(R7)*60)+MINUTE(R7))-((HOUR(Q7)*60)+MINUTE(Q7)),"")</f>
        <v>15</v>
      </c>
      <c r="U7" s="16" t="s">
        <v>30</v>
      </c>
      <c r="V7" s="17" t="n">
        <v>0.552083333333333</v>
      </c>
      <c r="W7" s="16" t="n">
        <v>0.635416666666667</v>
      </c>
      <c r="X7" s="1" t="str">
        <f aca="false">"[""" &amp; U7 &amp; """, """ &amp; IF(V7="","",TEXT(V7,"h:mm")) &amp; """, """ &amp; IF(W7="","",TEXT(W7,"h:mm")) &amp; """],"</f>
        <v>["菱浦", "13:15", "15:15"],</v>
      </c>
      <c r="Y7" s="18" t="n">
        <f aca="false">IF(AND(LEN(V7)&lt;&gt;0,LEN(W7)&lt;&gt;0),((HOUR(W7)*60)+MINUTE(W7))-((HOUR(V7)*60)+MINUTE(V7)),"")</f>
        <v>120</v>
      </c>
      <c r="Z7" s="16" t="s">
        <v>29</v>
      </c>
      <c r="AA7" s="16" t="n">
        <v>0.503472222222222</v>
      </c>
      <c r="AB7" s="16" t="n">
        <v>0.513888888888889</v>
      </c>
      <c r="AC7" s="1" t="str">
        <f aca="false">"[""" &amp; Z7 &amp; """, """ &amp; IF(AA7="","",TEXT(AA7,"h:mm")) &amp; """, """ &amp; IF(AB7="","",TEXT(AB7,"h:mm")) &amp; """],"</f>
        <v>["別府", "12:05", "12:20"],</v>
      </c>
      <c r="AD7" s="18" t="n">
        <f aca="false">IF(AND(LEN(AA7)&lt;&gt;0,LEN(AB7)&lt;&gt;0),((HOUR(AB7)*60)+MINUTE(AB7))-((HOUR(AA7)*60)+MINUTE(AA7)),"")</f>
        <v>15</v>
      </c>
      <c r="AE7" s="16" t="s">
        <v>29</v>
      </c>
      <c r="AF7" s="16" t="n">
        <v>0.420138888888889</v>
      </c>
      <c r="AG7" s="16" t="n">
        <v>0.430555555555556</v>
      </c>
      <c r="AH7" s="1" t="str">
        <f aca="false">"[""" &amp; AE7 &amp; """, """ &amp; IF(AF7="","",TEXT(AF7,"h:mm")) &amp; """, """ &amp; IF(AG7="","",TEXT(AG7,"h:mm")) &amp; """],"</f>
        <v>["別府", "10:05", "10:20"],</v>
      </c>
      <c r="AI7" s="18" t="n">
        <f aca="false">IF(AND(LEN(AF7)&lt;&gt;0,LEN(AG7)&lt;&gt;0),((HOUR(AG7)*60)+MINUTE(AG7))-((HOUR(AF7)*60)+MINUTE(AF7)),"")</f>
        <v>15</v>
      </c>
      <c r="AJ7" s="16" t="s">
        <v>27</v>
      </c>
      <c r="AK7" s="17" t="n">
        <v>0.597222222222222</v>
      </c>
      <c r="AL7" s="17" t="n">
        <v>0.614583333333333</v>
      </c>
      <c r="AM7" s="1" t="str">
        <f aca="false">"[""" &amp; AJ7 &amp; """, """ &amp; IF(AK7="","",TEXT(AK7,"h:mm")) &amp; """, """ &amp; IF(AL7="","",TEXT(AL7,"h:mm")) &amp; """],"</f>
        <v>["七類", "14:20", "14:45"],</v>
      </c>
      <c r="AN7" s="18" t="n">
        <f aca="false">IF(AND(LEN(AK7)&lt;&gt;0,LEN(AL7)&lt;&gt;0),((HOUR(AL7)*60)+MINUTE(AL7))-((HOUR(AK7)*60)+MINUTE(AK7)),"")</f>
        <v>25</v>
      </c>
      <c r="AO7" s="16" t="s">
        <v>29</v>
      </c>
      <c r="AP7" s="16" t="n">
        <v>0.503472222222222</v>
      </c>
      <c r="AQ7" s="16" t="n">
        <v>0.513888888888889</v>
      </c>
      <c r="AR7" s="1" t="str">
        <f aca="false">"[""" &amp; AO7 &amp; """, """ &amp; IF(AP7="","",TEXT(AP7,"h:mm")) &amp; """, """ &amp; IF(AQ7="","",TEXT(AQ7,"h:mm")) &amp; """],"</f>
        <v>["別府", "12:05", "12:20"],</v>
      </c>
      <c r="AS7" s="18" t="n">
        <f aca="false">IF(AND(LEN(AP7)&lt;&gt;0,LEN(AQ7)&lt;&gt;0),((HOUR(AQ7)*60)+MINUTE(AQ7))-((HOUR(AP7)*60)+MINUTE(AP7)),"")</f>
        <v>15</v>
      </c>
      <c r="AT7" s="16" t="s">
        <v>29</v>
      </c>
      <c r="AU7" s="16" t="n">
        <v>0.420138888888889</v>
      </c>
      <c r="AV7" s="16" t="n">
        <v>0.430555555555556</v>
      </c>
      <c r="AW7" s="1" t="str">
        <f aca="false">"[""" &amp; AT7 &amp; """, """ &amp; IF(AU7="","",TEXT(AU7,"h:mm")) &amp; """, """ &amp; IF(AV7="","",TEXT(AV7,"h:mm")) &amp; """],"</f>
        <v>["別府", "10:05", "10:20"],</v>
      </c>
      <c r="AX7" s="18" t="n">
        <f aca="false">IF(AND(LEN(AU7)&lt;&gt;0,LEN(AV7)&lt;&gt;0),((HOUR(AV7)*60)+MINUTE(AV7))-((HOUR(AU7)*60)+MINUTE(AU7)),"")</f>
        <v>15</v>
      </c>
      <c r="AZ7" s="16" t="s">
        <v>28</v>
      </c>
      <c r="BA7" s="17" t="n">
        <v>0.364583333333333</v>
      </c>
      <c r="BB7" s="17" t="n">
        <v>0.370833333333333</v>
      </c>
      <c r="BC7" s="1" t="str">
        <f aca="false">"[""" &amp; AZ7 &amp; """, """ &amp; IF(BA7="","",TEXT(BA7,"h:mm")) &amp; """, """ &amp; IF(BB7="","",TEXT(BB7,"h:mm")) &amp; """],"</f>
        <v>["西郷", "8:45", "8:54"],</v>
      </c>
      <c r="BD7" s="18" t="n">
        <f aca="false">IF(AND(LEN(BA7)&lt;&gt;0,LEN(BB7)&lt;&gt;0),((HOUR(BB7)*60)+MINUTE(BB7))-((HOUR(BA7)*60)+MINUTE(BA7)),"")</f>
        <v>9</v>
      </c>
      <c r="BE7" s="16" t="s">
        <v>28</v>
      </c>
      <c r="BF7" s="17" t="n">
        <v>0.364583333333333</v>
      </c>
      <c r="BG7" s="17" t="n">
        <v>0.370833333333333</v>
      </c>
      <c r="BH7" s="1" t="str">
        <f aca="false">"[""" &amp; BE7 &amp; """, """ &amp; IF(BF7="","",TEXT(BF7,"h:mm")) &amp; """, """ &amp; IF(BG7="","",TEXT(BG7,"h:mm")) &amp; """],"</f>
        <v>["西郷", "8:45", "8:54"],</v>
      </c>
      <c r="BI7" s="18" t="n">
        <f aca="false">IF(AND(LEN(BF7)&lt;&gt;0,LEN(BG7)&lt;&gt;0),((HOUR(BG7)*60)+MINUTE(BG7))-((HOUR(BF7)*60)+MINUTE(BF7)),"")</f>
        <v>9</v>
      </c>
      <c r="BJ7" s="16" t="s">
        <v>28</v>
      </c>
      <c r="BK7" s="17" t="n">
        <v>0.350694444444444</v>
      </c>
      <c r="BL7" s="17" t="n">
        <v>0.357638888888889</v>
      </c>
      <c r="BM7" s="1" t="str">
        <f aca="false">"[""" &amp; BJ7 &amp; """, """ &amp; IF(BK7="","",TEXT(BK7,"h:mm")) &amp; """, """ &amp; IF(BL7="","",TEXT(BL7,"h:mm")) &amp; """],"</f>
        <v>["西郷", "8:25", "8:35"],</v>
      </c>
      <c r="BN7" s="18" t="n">
        <f aca="false">IF(AND(LEN(BK7)&lt;&gt;0,LEN(BL7)&lt;&gt;0),((HOUR(BL7)*60)+MINUTE(BL7))-((HOUR(BK7)*60)+MINUTE(BK7)),"")</f>
        <v>10</v>
      </c>
      <c r="BO7" s="16" t="s">
        <v>28</v>
      </c>
      <c r="BP7" s="17" t="n">
        <v>0.364583333333333</v>
      </c>
      <c r="BQ7" s="17" t="n">
        <v>0.370833333333333</v>
      </c>
      <c r="BR7" s="1" t="str">
        <f aca="false">"[""" &amp; BO7 &amp; """, """ &amp; IF(BP7="","",TEXT(BP7,"h:mm")) &amp; """, """ &amp; IF(BQ7="","",TEXT(BQ7,"h:mm")) &amp; """],"</f>
        <v>["西郷", "8:45", "8:54"],</v>
      </c>
      <c r="BS7" s="18" t="n">
        <f aca="false">IF(AND(LEN(BP7)&lt;&gt;0,LEN(BQ7)&lt;&gt;0),((HOUR(BQ7)*60)+MINUTE(BQ7))-((HOUR(BP7)*60)+MINUTE(BP7)),"")</f>
        <v>9</v>
      </c>
      <c r="BT7" s="16" t="s">
        <v>28</v>
      </c>
      <c r="BU7" s="17" t="n">
        <v>0.364583333333333</v>
      </c>
      <c r="BV7" s="17" t="n">
        <v>0.370833333333333</v>
      </c>
      <c r="BW7" s="1" t="str">
        <f aca="false">"[""" &amp; BT7 &amp; """, """ &amp; IF(BU7="","",TEXT(BU7,"h:mm")) &amp; """, """ &amp; IF(BV7="","",TEXT(BV7,"h:mm")) &amp; """],"</f>
        <v>["西郷", "8:45", "8:54"],</v>
      </c>
      <c r="BX7" s="18" t="n">
        <f aca="false">IF(AND(LEN(BU7)&lt;&gt;0,LEN(BV7)&lt;&gt;0),((HOUR(BV7)*60)+MINUTE(BV7))-((HOUR(BU7)*60)+MINUTE(BU7)),"")</f>
        <v>9</v>
      </c>
      <c r="BZ7" s="19" t="s">
        <v>30</v>
      </c>
      <c r="CA7" s="19" t="n">
        <v>0.407638888888889</v>
      </c>
      <c r="CB7" s="19" t="n">
        <v>0.458333333333333</v>
      </c>
      <c r="CC7" s="1" t="str">
        <f aca="false">"[""" &amp; BZ7 &amp; """, """ &amp; IF(CA7="","",TEXT(CA7,"h:mm")) &amp; """, """ &amp; IF(CB7="","",TEXT(CB7,"h:mm")) &amp; """],"</f>
        <v>["菱浦", "9:47", "11:00"],</v>
      </c>
      <c r="CD7" s="18" t="n">
        <f aca="false">IF(AND(LEN(CA7)&lt;&gt;0,LEN(CB7)&lt;&gt;0),((HOUR(CB7)*60)+MINUTE(CB7))-((HOUR(CA7)*60)+MINUTE(CA7)),"")</f>
        <v>73</v>
      </c>
      <c r="CE7" s="19" t="s">
        <v>30</v>
      </c>
      <c r="CF7" s="19" t="n">
        <v>0.668055555555556</v>
      </c>
      <c r="CG7" s="19" t="n">
        <v>0.722222222222222</v>
      </c>
      <c r="CH7" s="1" t="str">
        <f aca="false">"[""" &amp; CE7 &amp; """, """ &amp; IF(CF7="","",TEXT(CF7,"h:mm")) &amp; """, """ &amp; IF(CG7="","",TEXT(CG7,"h:mm")) &amp; """],"</f>
        <v>["菱浦", "16:02", "17:20"],</v>
      </c>
      <c r="CI7" s="18" t="n">
        <f aca="false">IF(AND(LEN(CF7)&lt;&gt;0,LEN(CG7)&lt;&gt;0),((HOUR(CG7)*60)+MINUTE(CG7))-((HOUR(CF7)*60)+MINUTE(CF7)),"")</f>
        <v>78</v>
      </c>
      <c r="CJ7" s="19" t="s">
        <v>30</v>
      </c>
      <c r="CK7" s="19" t="n">
        <v>0.334722222222222</v>
      </c>
      <c r="CL7" s="19" t="n">
        <v>0.347222222222222</v>
      </c>
      <c r="CM7" s="1" t="str">
        <f aca="false">"[""" &amp; CJ7 &amp; """, """ &amp; IF(CK7="","",TEXT(CK7,"h:mm")) &amp; """, """ &amp; IF(CL7="","",TEXT(CL7,"h:mm")) &amp; """],"</f>
        <v>["菱浦", "8:02", "8:20"],</v>
      </c>
      <c r="CN7" s="18" t="n">
        <f aca="false">IF(AND(LEN(CK7)&lt;&gt;0,LEN(CL7)&lt;&gt;0),((HOUR(CL7)*60)+MINUTE(CL7))-((HOUR(CK7)*60)+MINUTE(CK7)),"")</f>
        <v>18</v>
      </c>
      <c r="CO7" s="19" t="s">
        <v>30</v>
      </c>
      <c r="CP7" s="19" t="n">
        <v>0.334722222222222</v>
      </c>
      <c r="CQ7" s="19" t="n">
        <v>0.347222222222222</v>
      </c>
      <c r="CR7" s="1" t="str">
        <f aca="false">"[""" &amp; CO7 &amp; """, """ &amp; IF(CP7="","",TEXT(CP7,"h:mm")) &amp; """, """ &amp; IF(CQ7="","",TEXT(CQ7,"h:mm")) &amp; """],"</f>
        <v>["菱浦", "8:02", "8:20"],</v>
      </c>
      <c r="CS7" s="18" t="n">
        <f aca="false">IF(AND(LEN(CP7)&lt;&gt;0,LEN(CQ7)&lt;&gt;0),((HOUR(CQ7)*60)+MINUTE(CQ7))-((HOUR(CP7)*60)+MINUTE(CP7)),"")</f>
        <v>18</v>
      </c>
      <c r="CU7" s="20" t="s">
        <v>29</v>
      </c>
      <c r="CV7" s="20" t="n">
        <v>0.345833333333333</v>
      </c>
      <c r="CW7" s="20" t="n">
        <v>0.347222222222222</v>
      </c>
      <c r="CX7" s="1" t="str">
        <f aca="false">"[""" &amp; CU7 &amp; """, """ &amp; IF(CV7="","",TEXT(CV7,"h:mm")) &amp; """, """ &amp; IF(CW7="","",TEXT(CW7,"h:mm")) &amp; """],"</f>
        <v>["別府", "8:18", "8:20"],</v>
      </c>
      <c r="CY7" s="18" t="n">
        <f aca="false">IF(AND(LEN(CV7)&lt;&gt;0,LEN(CW7)&lt;&gt;0),((HOUR(CW7)*60)+MINUTE(CW7))-((HOUR(CV7)*60)+MINUTE(CV7)),"")</f>
        <v>2</v>
      </c>
      <c r="CZ7" s="20" t="s">
        <v>29</v>
      </c>
      <c r="DA7" s="20" t="n">
        <v>0.322222222222222</v>
      </c>
      <c r="DB7" s="20" t="n">
        <v>0.323611111111111</v>
      </c>
      <c r="DC7" s="1" t="str">
        <f aca="false">"[""" &amp; CZ7 &amp; """, """ &amp; IF(DA7="","",TEXT(DA7,"h:mm")) &amp; """, """ &amp; IF(DB7="","",TEXT(DB7,"h:mm")) &amp; """],"</f>
        <v>["別府", "7:44", "7:46"],</v>
      </c>
      <c r="DD7" s="18" t="n">
        <f aca="false">IF(AND(LEN(DA7)&lt;&gt;0,LEN(DB7)&lt;&gt;0),((HOUR(DB7)*60)+MINUTE(DB7))-((HOUR(DA7)*60)+MINUTE(DA7)),"")</f>
        <v>2</v>
      </c>
      <c r="DE7" s="20" t="s">
        <v>29</v>
      </c>
      <c r="DF7" s="20" t="n">
        <v>0.322222222222222</v>
      </c>
      <c r="DG7" s="20" t="n">
        <v>0.323611111111111</v>
      </c>
      <c r="DH7" s="1" t="str">
        <f aca="false">"[""" &amp; DE7 &amp; """, """ &amp; IF(DF7="","",TEXT(DF7,"h:mm")) &amp; """, """ &amp; IF(DG7="","",TEXT(DG7,"h:mm")) &amp; """],"</f>
        <v>["別府", "7:44", "7:46"],</v>
      </c>
      <c r="DI7" s="18" t="n">
        <f aca="false">IF(AND(LEN(DF7)&lt;&gt;0,LEN(DG7)&lt;&gt;0),((HOUR(DG7)*60)+MINUTE(DG7))-((HOUR(DF7)*60)+MINUTE(DF7)),"")</f>
        <v>2</v>
      </c>
      <c r="DJ7" s="20" t="s">
        <v>29</v>
      </c>
      <c r="DK7" s="20" t="n">
        <v>0.322222222222222</v>
      </c>
      <c r="DL7" s="20" t="n">
        <v>0.323611111111111</v>
      </c>
      <c r="DM7" s="1" t="str">
        <f aca="false">"[""" &amp; DJ7 &amp; """, """ &amp; IF(DK7="","",TEXT(DK7,"h:mm")) &amp; """, """ &amp; IF(DL7="","",TEXT(DL7,"h:mm")) &amp; """],"</f>
        <v>["別府", "7:44", "7:46"],</v>
      </c>
      <c r="DN7" s="18" t="n">
        <f aca="false">IF(AND(LEN(DK7)&lt;&gt;0,LEN(DL7)&lt;&gt;0),((HOUR(DL7)*60)+MINUTE(DL7))-((HOUR(DK7)*60)+MINUTE(DK7)),"")</f>
        <v>2</v>
      </c>
      <c r="DO7" s="20" t="s">
        <v>29</v>
      </c>
      <c r="DP7" s="20" t="n">
        <v>0.322222222222222</v>
      </c>
      <c r="DQ7" s="20" t="n">
        <v>0.323611111111111</v>
      </c>
      <c r="DR7" s="1" t="str">
        <f aca="false">"[""" &amp; DO7 &amp; """, """ &amp; IF(DP7="","",TEXT(DP7,"h:mm")) &amp; """, """ &amp; IF(DQ7="","",TEXT(DQ7,"h:mm")) &amp; """],"</f>
        <v>["別府", "7:44", "7:46"],</v>
      </c>
      <c r="DS7" s="18" t="n">
        <f aca="false">IF(AND(LEN(DP7)&lt;&gt;0,LEN(DQ7)&lt;&gt;0),((HOUR(DQ7)*60)+MINUTE(DQ7))-((HOUR(DP7)*60)+MINUTE(DP7)),"")</f>
        <v>2</v>
      </c>
      <c r="DT7" s="20" t="s">
        <v>29</v>
      </c>
      <c r="DU7" s="20" t="n">
        <v>0.345833333333333</v>
      </c>
      <c r="DV7" s="20" t="n">
        <v>0.347222222222222</v>
      </c>
      <c r="DW7" s="1" t="str">
        <f aca="false">"[""" &amp; DT7 &amp; """, """ &amp; IF(DU7="","",TEXT(DU7,"h:mm")) &amp; """, """ &amp; IF(DV7="","",TEXT(DV7,"h:mm")) &amp; """],"</f>
        <v>["別府", "8:18", "8:20"],</v>
      </c>
      <c r="DX7" s="18" t="n">
        <f aca="false">IF(AND(LEN(DU7)&lt;&gt;0,LEN(DV7)&lt;&gt;0),((HOUR(DV7)*60)+MINUTE(DV7))-((HOUR(DU7)*60)+MINUTE(DU7)),"")</f>
        <v>2</v>
      </c>
      <c r="DY7" s="19" t="s">
        <v>30</v>
      </c>
      <c r="DZ7" s="19" t="n">
        <v>0.355555555555556</v>
      </c>
      <c r="EA7" s="19" t="n">
        <v>0.356944444444444</v>
      </c>
      <c r="EB7" s="1" t="str">
        <f aca="false">"[""" &amp; DY7 &amp; """, """ &amp; IF(DZ7="","",TEXT(DZ7,"h:mm")) &amp; """, """ &amp; IF(EA7="","",TEXT(EA7,"h:mm")) &amp; """],"</f>
        <v>["菱浦", "8:32", "8:34"],</v>
      </c>
      <c r="EC7" s="18" t="n">
        <f aca="false">IF(AND(LEN(DZ7)&lt;&gt;0,LEN(EA7)&lt;&gt;0),((HOUR(EA7)*60)+MINUTE(EA7))-((HOUR(DZ7)*60)+MINUTE(DZ7)),"")</f>
        <v>2</v>
      </c>
      <c r="ED7" s="19" t="s">
        <v>30</v>
      </c>
      <c r="EE7" s="19" t="n">
        <v>0.355555555555556</v>
      </c>
      <c r="EF7" s="19" t="n">
        <v>0.356944444444444</v>
      </c>
      <c r="EG7" s="1" t="str">
        <f aca="false">"[""" &amp; ED7 &amp; """, """ &amp; IF(EE7="","",TEXT(EE7,"h:mm")) &amp; """, """ &amp; IF(EF7="","",TEXT(EF7,"h:mm")) &amp; """],"</f>
        <v>["菱浦", "8:32", "8:34"],</v>
      </c>
      <c r="EH7" s="18" t="n">
        <f aca="false">IF(AND(LEN(EE7)&lt;&gt;0,LEN(EF7)&lt;&gt;0),((HOUR(EF7)*60)+MINUTE(EF7))-((HOUR(EE7)*60)+MINUTE(EE7)),"")</f>
        <v>2</v>
      </c>
      <c r="EI7" s="19" t="s">
        <v>30</v>
      </c>
      <c r="EJ7" s="19" t="n">
        <v>0.355555555555556</v>
      </c>
      <c r="EK7" s="19" t="n">
        <v>0.356944444444444</v>
      </c>
      <c r="EL7" s="1" t="str">
        <f aca="false">"[""" &amp; EI7 &amp; """, """ &amp; IF(EJ7="","",TEXT(EJ7,"h:mm")) &amp; """, """ &amp; IF(EK7="","",TEXT(EK7,"h:mm")) &amp; """],"</f>
        <v>["菱浦", "8:32", "8:34"],</v>
      </c>
      <c r="EM7" s="18" t="n">
        <f aca="false">IF(AND(LEN(EJ7)&lt;&gt;0,LEN(EK7)&lt;&gt;0),((HOUR(EK7)*60)+MINUTE(EK7))-((HOUR(EJ7)*60)+MINUTE(EJ7)),"")</f>
        <v>2</v>
      </c>
      <c r="EN7" s="19" t="s">
        <v>30</v>
      </c>
      <c r="EO7" s="19" t="n">
        <v>0.355555555555556</v>
      </c>
      <c r="EP7" s="19" t="n">
        <v>0.356944444444444</v>
      </c>
      <c r="EQ7" s="1" t="str">
        <f aca="false">"[""" &amp; EN7 &amp; """, """ &amp; IF(EO7="","",TEXT(EO7,"h:mm")) &amp; """, """ &amp; IF(EP7="","",TEXT(EP7,"h:mm")) &amp; """],"</f>
        <v>["菱浦", "8:32", "8:34"],</v>
      </c>
      <c r="ER7" s="18" t="n">
        <f aca="false">IF(AND(LEN(EO7)&lt;&gt;0,LEN(EP7)&lt;&gt;0),((HOUR(EP7)*60)+MINUTE(EP7))-((HOUR(EO7)*60)+MINUTE(EO7)),"")</f>
        <v>2</v>
      </c>
    </row>
    <row r="8" customFormat="false" ht="18" hidden="false" customHeight="false" outlineLevel="0" collapsed="false">
      <c r="A8" s="16" t="s">
        <v>29</v>
      </c>
      <c r="B8" s="16" t="n">
        <v>0.572916666666667</v>
      </c>
      <c r="C8" s="17" t="n">
        <v>0.583333333333333</v>
      </c>
      <c r="D8" s="1" t="str">
        <f aca="false">"[""" &amp; A8 &amp; """, """ &amp; IF(B8="","",TEXT(B8,"h:mm")) &amp; """, """ &amp; IF(C8="","",TEXT(C8,"h:mm")) &amp; """],"</f>
        <v>["別府", "13:45", "14:00"],</v>
      </c>
      <c r="E8" s="18" t="n">
        <f aca="false">IF(AND(LEN(B8)&lt;&gt;0,LEN(C8)&lt;&gt;0),((HOUR(C8)*60)+MINUTE(C8))-((HOUR(B8)*60)+MINUTE(B8)),"")</f>
        <v>15</v>
      </c>
      <c r="F8" s="16" t="s">
        <v>31</v>
      </c>
      <c r="G8" s="16" t="n">
        <v>0.451388888888889</v>
      </c>
      <c r="H8" s="17" t="n">
        <v>0.454861111111111</v>
      </c>
      <c r="I8" s="1" t="str">
        <f aca="false">"[""" &amp; F8 &amp; """, """ &amp; IF(G8="","",TEXT(G8,"h:mm")) &amp; """, """ &amp; IF(H8="","",TEXT(H8,"h:mm")) &amp; """],"</f>
        <v>["来居", "10:50", "10:55"],</v>
      </c>
      <c r="J8" s="18" t="n">
        <f aca="false">IF(AND(LEN(G8)&lt;&gt;0,LEN(H8)&lt;&gt;0),((HOUR(H8)*60)+MINUTE(H8))-((HOUR(G8)*60)+MINUTE(G8)),"")</f>
        <v>5</v>
      </c>
      <c r="K8" s="16" t="s">
        <v>29</v>
      </c>
      <c r="L8" s="16" t="n">
        <v>0.572916666666667</v>
      </c>
      <c r="M8" s="17" t="n">
        <v>0.583333333333333</v>
      </c>
      <c r="N8" s="1" t="str">
        <f aca="false">"[""" &amp; K8 &amp; """, """ &amp; IF(L8="","",TEXT(L8,"h:mm")) &amp; """, """ &amp; IF(M8="","",TEXT(M8,"h:mm")) &amp; """],"</f>
        <v>["別府", "13:45", "14:00"],</v>
      </c>
      <c r="O8" s="18" t="n">
        <f aca="false">IF(AND(LEN(L8)&lt;&gt;0,LEN(M8)&lt;&gt;0),((HOUR(M8)*60)+MINUTE(M8))-((HOUR(L8)*60)+MINUTE(L8)),"")</f>
        <v>15</v>
      </c>
      <c r="P8" s="16" t="s">
        <v>31</v>
      </c>
      <c r="Q8" s="16" t="n">
        <v>0.451388888888889</v>
      </c>
      <c r="R8" s="17" t="n">
        <v>0.454861111111111</v>
      </c>
      <c r="S8" s="1" t="str">
        <f aca="false">"[""" &amp; P8 &amp; """, """ &amp; IF(Q8="","",TEXT(Q8,"h:mm")) &amp; """, """ &amp; IF(R8="","",TEXT(R8,"h:mm")) &amp; """],"</f>
        <v>["来居", "10:50", "10:55"],</v>
      </c>
      <c r="T8" s="18" t="n">
        <f aca="false">IF(AND(LEN(Q8)&lt;&gt;0,LEN(R8)&lt;&gt;0),((HOUR(R8)*60)+MINUTE(R8))-((HOUR(Q8)*60)+MINUTE(Q8)),"")</f>
        <v>5</v>
      </c>
      <c r="U8" s="16" t="s">
        <v>29</v>
      </c>
      <c r="V8" s="16" t="n">
        <v>0.645833333333333</v>
      </c>
      <c r="W8" s="17" t="n">
        <v>0.65625</v>
      </c>
      <c r="X8" s="1" t="str">
        <f aca="false">"[""" &amp; U8 &amp; """, """ &amp; IF(V8="","",TEXT(V8,"h:mm")) &amp; """, """ &amp; IF(W8="","",TEXT(W8,"h:mm")) &amp; """],"</f>
        <v>["別府", "15:30", "15:45"],</v>
      </c>
      <c r="Y8" s="18" t="n">
        <f aca="false">IF(AND(LEN(V8)&lt;&gt;0,LEN(W8)&lt;&gt;0),((HOUR(W8)*60)+MINUTE(W8))-((HOUR(V8)*60)+MINUTE(V8)),"")</f>
        <v>15</v>
      </c>
      <c r="Z8" s="16" t="s">
        <v>30</v>
      </c>
      <c r="AA8" s="16" t="n">
        <v>0.527777777777778</v>
      </c>
      <c r="AB8" s="17" t="n">
        <v>0.534722222222222</v>
      </c>
      <c r="AC8" s="1" t="str">
        <f aca="false">"[""" &amp; Z8 &amp; """, """ &amp; IF(AA8="","",TEXT(AA8,"h:mm")) &amp; """, """ &amp; IF(AB8="","",TEXT(AB8,"h:mm")) &amp; """],"</f>
        <v>["菱浦", "12:40", "12:50"],</v>
      </c>
      <c r="AD8" s="18" t="n">
        <f aca="false">IF(AND(LEN(AA8)&lt;&gt;0,LEN(AB8)&lt;&gt;0),((HOUR(AB8)*60)+MINUTE(AB8))-((HOUR(AA8)*60)+MINUTE(AA8)),"")</f>
        <v>10</v>
      </c>
      <c r="AE8" s="16" t="s">
        <v>31</v>
      </c>
      <c r="AF8" s="16" t="n">
        <v>0.451388888888889</v>
      </c>
      <c r="AG8" s="17" t="n">
        <v>0.454861111111111</v>
      </c>
      <c r="AH8" s="1" t="str">
        <f aca="false">"[""" &amp; AE8 &amp; """, """ &amp; IF(AF8="","",TEXT(AF8,"h:mm")) &amp; """, """ &amp; IF(AG8="","",TEXT(AG8,"h:mm")) &amp; """],"</f>
        <v>["来居", "10:50", "10:55"],</v>
      </c>
      <c r="AI8" s="18" t="n">
        <f aca="false">IF(AND(LEN(AF8)&lt;&gt;0,LEN(AG8)&lt;&gt;0),((HOUR(AG8)*60)+MINUTE(AG8))-((HOUR(AF8)*60)+MINUTE(AF8)),"")</f>
        <v>5</v>
      </c>
      <c r="AJ8" s="16" t="s">
        <v>28</v>
      </c>
      <c r="AK8" s="17" t="n">
        <v>0.715277777777778</v>
      </c>
      <c r="AL8" s="17" t="n">
        <v>0.732638888888889</v>
      </c>
      <c r="AM8" s="1" t="str">
        <f aca="false">"[""" &amp; AJ8 &amp; """, """ &amp; IF(AK8="","",TEXT(AK8,"h:mm")) &amp; """, """ &amp; IF(AL8="","",TEXT(AL8,"h:mm")) &amp; """],"</f>
        <v>["西郷", "17:10", "17:35"],</v>
      </c>
      <c r="AN8" s="18" t="n">
        <f aca="false">IF(AND(LEN(AK8)&lt;&gt;0,LEN(AL8)&lt;&gt;0),((HOUR(AL8)*60)+MINUTE(AL8))-((HOUR(AK8)*60)+MINUTE(AK8)),"")</f>
        <v>25</v>
      </c>
      <c r="AO8" s="16" t="s">
        <v>30</v>
      </c>
      <c r="AP8" s="16" t="n">
        <v>0.527777777777778</v>
      </c>
      <c r="AQ8" s="17" t="n">
        <v>0.534722222222222</v>
      </c>
      <c r="AR8" s="1" t="str">
        <f aca="false">"[""" &amp; AO8 &amp; """, """ &amp; IF(AP8="","",TEXT(AP8,"h:mm")) &amp; """, """ &amp; IF(AQ8="","",TEXT(AQ8,"h:mm")) &amp; """],"</f>
        <v>["菱浦", "12:40", "12:50"],</v>
      </c>
      <c r="AS8" s="18" t="n">
        <f aca="false">IF(AND(LEN(AP8)&lt;&gt;0,LEN(AQ8)&lt;&gt;0),((HOUR(AQ8)*60)+MINUTE(AQ8))-((HOUR(AP8)*60)+MINUTE(AP8)),"")</f>
        <v>10</v>
      </c>
      <c r="AT8" s="16" t="s">
        <v>31</v>
      </c>
      <c r="AU8" s="16" t="n">
        <v>0.451388888888889</v>
      </c>
      <c r="AV8" s="17" t="n">
        <v>0.454861111111111</v>
      </c>
      <c r="AW8" s="1" t="str">
        <f aca="false">"[""" &amp; AT8 &amp; """, """ &amp; IF(AU8="","",TEXT(AU8,"h:mm")) &amp; """, """ &amp; IF(AV8="","",TEXT(AV8,"h:mm")) &amp; """],"</f>
        <v>["来居", "10:50", "10:55"],</v>
      </c>
      <c r="AX8" s="18" t="n">
        <f aca="false">IF(AND(LEN(AU8)&lt;&gt;0,LEN(AV8)&lt;&gt;0),((HOUR(AV8)*60)+MINUTE(AV8))-((HOUR(AU8)*60)+MINUTE(AU8)),"")</f>
        <v>5</v>
      </c>
      <c r="AZ8" s="16" t="s">
        <v>32</v>
      </c>
      <c r="BA8" s="17" t="n">
        <v>0.428472222222222</v>
      </c>
      <c r="BB8" s="17" t="n">
        <v>0.673611111111111</v>
      </c>
      <c r="BC8" s="1" t="str">
        <f aca="false">"[""" &amp; AZ8 &amp; """, """ &amp; IF(BA8="","",TEXT(BA8,"h:mm")) &amp; """, """ &amp; IF(BB8="","",TEXT(BB8,"h:mm")) &amp; """],"</f>
        <v>["境港", "10:17", "16:10"],</v>
      </c>
      <c r="BD8" s="18" t="n">
        <f aca="false">IF(AND(LEN(BA8)&lt;&gt;0,LEN(BB8)&lt;&gt;0),((HOUR(BB8)*60)+MINUTE(BB8))-((HOUR(BA8)*60)+MINUTE(BA8)),"")</f>
        <v>353</v>
      </c>
      <c r="BE8" s="16" t="s">
        <v>27</v>
      </c>
      <c r="BF8" s="17" t="n">
        <v>0.41875</v>
      </c>
      <c r="BG8" s="17" t="n">
        <v>0.701388888888889</v>
      </c>
      <c r="BH8" s="1" t="str">
        <f aca="false">"[""" &amp; BE8 &amp; """, """ &amp; IF(BF8="","",TEXT(BF8,"h:mm")) &amp; """, """ &amp; IF(BG8="","",TEXT(BG8,"h:mm")) &amp; """],"</f>
        <v>["七類", "10:03", "16:50"],</v>
      </c>
      <c r="BI8" s="18" t="n">
        <f aca="false">IF(AND(LEN(BF8)&lt;&gt;0,LEN(BG8)&lt;&gt;0),((HOUR(BG8)*60)+MINUTE(BG8))-((HOUR(BF8)*60)+MINUTE(BF8)),"")</f>
        <v>407</v>
      </c>
      <c r="BJ8" s="16" t="s">
        <v>32</v>
      </c>
      <c r="BK8" s="17" t="n">
        <v>0.415277777777778</v>
      </c>
      <c r="BL8" s="17" t="n">
        <v>0.5</v>
      </c>
      <c r="BM8" s="1" t="str">
        <f aca="false">"[""" &amp; BJ8 &amp; """, """ &amp; IF(BK8="","",TEXT(BK8,"h:mm")) &amp; """, """ &amp; IF(BL8="","",TEXT(BL8,"h:mm")) &amp; """],"</f>
        <v>["境港", "9:58", "12:00"],</v>
      </c>
      <c r="BN8" s="18" t="n">
        <f aca="false">IF(AND(LEN(BK8)&lt;&gt;0,LEN(BL8)&lt;&gt;0),((HOUR(BL8)*60)+MINUTE(BL8))-((HOUR(BK8)*60)+MINUTE(BK8)),"")</f>
        <v>122</v>
      </c>
      <c r="BO8" s="16" t="s">
        <v>27</v>
      </c>
      <c r="BP8" s="17" t="n">
        <v>0.41875</v>
      </c>
      <c r="BQ8" s="17" t="n">
        <v>0.65625</v>
      </c>
      <c r="BR8" s="1" t="str">
        <f aca="false">"[""" &amp; BO8 &amp; """, """ &amp; IF(BP8="","",TEXT(BP8,"h:mm")) &amp; """, """ &amp; IF(BQ8="","",TEXT(BQ8,"h:mm")) &amp; """],"</f>
        <v>["七類", "10:03", "15:45"],</v>
      </c>
      <c r="BS8" s="18" t="n">
        <f aca="false">IF(AND(LEN(BP8)&lt;&gt;0,LEN(BQ8)&lt;&gt;0),((HOUR(BQ8)*60)+MINUTE(BQ8))-((HOUR(BP8)*60)+MINUTE(BP8)),"")</f>
        <v>342</v>
      </c>
      <c r="BT8" s="16" t="s">
        <v>32</v>
      </c>
      <c r="BU8" s="17" t="n">
        <v>0.428472222222222</v>
      </c>
      <c r="BV8" s="17" t="n">
        <v>0.631944444444444</v>
      </c>
      <c r="BW8" s="1" t="str">
        <f aca="false">"[""" &amp; BT8 &amp; """, """ &amp; IF(BU8="","",TEXT(BU8,"h:mm")) &amp; """, """ &amp; IF(BV8="","",TEXT(BV8,"h:mm")) &amp; """],"</f>
        <v>["境港", "10:17", "15:10"],</v>
      </c>
      <c r="BX8" s="18" t="n">
        <f aca="false">IF(AND(LEN(BU8)&lt;&gt;0,LEN(BV8)&lt;&gt;0),((HOUR(BV8)*60)+MINUTE(BV8))-((HOUR(BU8)*60)+MINUTE(BU8)),"")</f>
        <v>293</v>
      </c>
      <c r="BZ8" s="20" t="s">
        <v>29</v>
      </c>
      <c r="CA8" s="20" t="n">
        <v>0.46875</v>
      </c>
      <c r="CB8" s="20" t="n">
        <v>0.479166666666667</v>
      </c>
      <c r="CC8" s="1" t="str">
        <f aca="false">"[""" &amp; BZ8 &amp; """, """ &amp; IF(CA8="","",TEXT(CA8,"h:mm")) &amp; """, """ &amp; IF(CB8="","",TEXT(CB8,"h:mm")) &amp; """],"</f>
        <v>["別府", "11:15", "11:30"],</v>
      </c>
      <c r="CD8" s="18" t="n">
        <f aca="false">IF(AND(LEN(CA8)&lt;&gt;0,LEN(CB8)&lt;&gt;0),((HOUR(CB8)*60)+MINUTE(CB8))-((HOUR(CA8)*60)+MINUTE(CA8)),"")</f>
        <v>15</v>
      </c>
      <c r="CE8" s="20" t="s">
        <v>29</v>
      </c>
      <c r="CF8" s="20" t="n">
        <v>0.732638888888889</v>
      </c>
      <c r="CG8" s="20" t="n">
        <v>0.736111111111111</v>
      </c>
      <c r="CH8" s="1" t="str">
        <f aca="false">"[""" &amp; CE8 &amp; """, """ &amp; IF(CF8="","",TEXT(CF8,"h:mm")) &amp; """, """ &amp; IF(CG8="","",TEXT(CG8,"h:mm")) &amp; """],"</f>
        <v>["別府", "17:35", "17:40"],</v>
      </c>
      <c r="CI8" s="18" t="n">
        <f aca="false">IF(AND(LEN(CF8)&lt;&gt;0,LEN(CG8)&lt;&gt;0),((HOUR(CG8)*60)+MINUTE(CG8))-((HOUR(CF8)*60)+MINUTE(CF8)),"")</f>
        <v>5</v>
      </c>
      <c r="CJ8" s="20" t="s">
        <v>29</v>
      </c>
      <c r="CK8" s="20" t="n">
        <v>0.357638888888889</v>
      </c>
      <c r="CL8" s="20" t="n">
        <v>0.361111111111111</v>
      </c>
      <c r="CM8" s="1" t="str">
        <f aca="false">"[""" &amp; CJ8 &amp; """, """ &amp; IF(CK8="","",TEXT(CK8,"h:mm")) &amp; """, """ &amp; IF(CL8="","",TEXT(CL8,"h:mm")) &amp; """],"</f>
        <v>["別府", "8:35", "8:40"],</v>
      </c>
      <c r="CN8" s="18" t="n">
        <f aca="false">IF(AND(LEN(CK8)&lt;&gt;0,LEN(CL8)&lt;&gt;0),((HOUR(CL8)*60)+MINUTE(CL8))-((HOUR(CK8)*60)+MINUTE(CK8)),"")</f>
        <v>5</v>
      </c>
      <c r="CO8" s="20" t="s">
        <v>29</v>
      </c>
      <c r="CP8" s="20" t="n">
        <v>0.357638888888889</v>
      </c>
      <c r="CQ8" s="20" t="n">
        <v>0.361111111111111</v>
      </c>
      <c r="CR8" s="1" t="str">
        <f aca="false">"[""" &amp; CO8 &amp; """, """ &amp; IF(CP8="","",TEXT(CP8,"h:mm")) &amp; """, """ &amp; IF(CQ8="","",TEXT(CQ8,"h:mm")) &amp; """],"</f>
        <v>["別府", "8:35", "8:40"],</v>
      </c>
      <c r="CS8" s="18" t="n">
        <f aca="false">IF(AND(LEN(CP8)&lt;&gt;0,LEN(CQ8)&lt;&gt;0),((HOUR(CQ8)*60)+MINUTE(CQ8))-((HOUR(CP8)*60)+MINUTE(CP8)),"")</f>
        <v>5</v>
      </c>
      <c r="CU8" s="21" t="s">
        <v>31</v>
      </c>
      <c r="CV8" s="22" t="n">
        <v>0.360416666666667</v>
      </c>
      <c r="CW8" s="22" t="n">
        <v>0.361805555555556</v>
      </c>
      <c r="CX8" s="1" t="str">
        <f aca="false">"[""" &amp; CU8 &amp; """, """ &amp; IF(CV8="","",TEXT(CV8,"h:mm")) &amp; """, """ &amp; IF(CW8="","",TEXT(CW8,"h:mm")) &amp; """],"</f>
        <v>["来居", "8:39", "8:41"],</v>
      </c>
      <c r="CY8" s="18" t="n">
        <f aca="false">IF(AND(LEN(CV8)&lt;&gt;0,LEN(CW8)&lt;&gt;0),((HOUR(CW8)*60)+MINUTE(CW8))-((HOUR(CV8)*60)+MINUTE(CV8)),"")</f>
        <v>2</v>
      </c>
      <c r="CZ8" s="21" t="s">
        <v>31</v>
      </c>
      <c r="DA8" s="22" t="n">
        <v>0.335416666666667</v>
      </c>
      <c r="DB8" s="22" t="n">
        <v>0.336805555555556</v>
      </c>
      <c r="DC8" s="1" t="str">
        <f aca="false">"[""" &amp; CZ8 &amp; """, """ &amp; IF(DA8="","",TEXT(DA8,"h:mm")) &amp; """, """ &amp; IF(DB8="","",TEXT(DB8,"h:mm")) &amp; """],"</f>
        <v>["来居", "8:03", "8:05"],</v>
      </c>
      <c r="DD8" s="18" t="n">
        <f aca="false">IF(AND(LEN(DA8)&lt;&gt;0,LEN(DB8)&lt;&gt;0),((HOUR(DB8)*60)+MINUTE(DB8))-((HOUR(DA8)*60)+MINUTE(DA8)),"")</f>
        <v>2</v>
      </c>
      <c r="DE8" s="21" t="s">
        <v>31</v>
      </c>
      <c r="DF8" s="22" t="n">
        <v>0.335416666666667</v>
      </c>
      <c r="DG8" s="22" t="n">
        <v>0.336805555555556</v>
      </c>
      <c r="DH8" s="1" t="str">
        <f aca="false">"[""" &amp; DE8 &amp; """, """ &amp; IF(DF8="","",TEXT(DF8,"h:mm")) &amp; """, """ &amp; IF(DG8="","",TEXT(DG8,"h:mm")) &amp; """],"</f>
        <v>["来居", "8:03", "8:05"],</v>
      </c>
      <c r="DI8" s="18" t="n">
        <f aca="false">IF(AND(LEN(DF8)&lt;&gt;0,LEN(DG8)&lt;&gt;0),((HOUR(DG8)*60)+MINUTE(DG8))-((HOUR(DF8)*60)+MINUTE(DF8)),"")</f>
        <v>2</v>
      </c>
      <c r="DJ8" s="21" t="s">
        <v>31</v>
      </c>
      <c r="DK8" s="22" t="n">
        <v>0.335416666666667</v>
      </c>
      <c r="DL8" s="22" t="n">
        <v>0.336805555555556</v>
      </c>
      <c r="DM8" s="1" t="str">
        <f aca="false">"[""" &amp; DJ8 &amp; """, """ &amp; IF(DK8="","",TEXT(DK8,"h:mm")) &amp; """, """ &amp; IF(DL8="","",TEXT(DL8,"h:mm")) &amp; """],"</f>
        <v>["来居", "8:03", "8:05"],</v>
      </c>
      <c r="DN8" s="18" t="n">
        <f aca="false">IF(AND(LEN(DK8)&lt;&gt;0,LEN(DL8)&lt;&gt;0),((HOUR(DL8)*60)+MINUTE(DL8))-((HOUR(DK8)*60)+MINUTE(DK8)),"")</f>
        <v>2</v>
      </c>
      <c r="DO8" s="21" t="s">
        <v>31</v>
      </c>
      <c r="DP8" s="22" t="n">
        <v>0.335416666666667</v>
      </c>
      <c r="DQ8" s="22" t="n">
        <v>0.336805555555556</v>
      </c>
      <c r="DR8" s="1" t="str">
        <f aca="false">"[""" &amp; DO8 &amp; """, """ &amp; IF(DP8="","",TEXT(DP8,"h:mm")) &amp; """, """ &amp; IF(DQ8="","",TEXT(DQ8,"h:mm")) &amp; """],"</f>
        <v>["来居", "8:03", "8:05"],</v>
      </c>
      <c r="DS8" s="18" t="n">
        <f aca="false">IF(AND(LEN(DP8)&lt;&gt;0,LEN(DQ8)&lt;&gt;0),((HOUR(DQ8)*60)+MINUTE(DQ8))-((HOUR(DP8)*60)+MINUTE(DP8)),"")</f>
        <v>2</v>
      </c>
      <c r="DT8" s="19" t="s">
        <v>30</v>
      </c>
      <c r="DU8" s="19" t="n">
        <v>0.352777777777778</v>
      </c>
      <c r="DV8" s="19" t="n">
        <v>0.377083333333333</v>
      </c>
      <c r="DW8" s="1" t="str">
        <f aca="false">"[""" &amp; DT8 &amp; """, """ &amp; IF(DU8="","",TEXT(DU8,"h:mm")) &amp; """, """ &amp; IF(DV8="","",TEXT(DV8,"h:mm")) &amp; """],"</f>
        <v>["菱浦", "8:28", "9:03"],</v>
      </c>
      <c r="DX8" s="18" t="n">
        <f aca="false">IF(AND(LEN(DU8)&lt;&gt;0,LEN(DV8)&lt;&gt;0),((HOUR(DV8)*60)+MINUTE(DV8))-((HOUR(DU8)*60)+MINUTE(DU8)),"")</f>
        <v>35</v>
      </c>
      <c r="DY8" s="20" t="s">
        <v>29</v>
      </c>
      <c r="DZ8" s="20" t="n">
        <v>0.361805555555556</v>
      </c>
      <c r="EA8" s="20" t="n">
        <v>0.386805555555556</v>
      </c>
      <c r="EB8" s="1" t="str">
        <f aca="false">"[""" &amp; DY8 &amp; """, """ &amp; IF(DZ8="","",TEXT(DZ8,"h:mm")) &amp; """, """ &amp; IF(EA8="","",TEXT(EA8,"h:mm")) &amp; """],"</f>
        <v>["別府", "8:41", "9:17"],</v>
      </c>
      <c r="EC8" s="18" t="n">
        <f aca="false">IF(AND(LEN(DZ8)&lt;&gt;0,LEN(EA8)&lt;&gt;0),((HOUR(EA8)*60)+MINUTE(EA8))-((HOUR(DZ8)*60)+MINUTE(DZ8)),"")</f>
        <v>36</v>
      </c>
      <c r="ED8" s="20" t="s">
        <v>29</v>
      </c>
      <c r="EE8" s="20" t="n">
        <v>0.361805555555556</v>
      </c>
      <c r="EF8" s="20" t="n">
        <v>0.386805555555556</v>
      </c>
      <c r="EG8" s="1" t="str">
        <f aca="false">"[""" &amp; ED8 &amp; """, """ &amp; IF(EE8="","",TEXT(EE8,"h:mm")) &amp; """, """ &amp; IF(EF8="","",TEXT(EF8,"h:mm")) &amp; """],"</f>
        <v>["別府", "8:41", "9:17"],</v>
      </c>
      <c r="EH8" s="18" t="n">
        <f aca="false">IF(AND(LEN(EE8)&lt;&gt;0,LEN(EF8)&lt;&gt;0),((HOUR(EF8)*60)+MINUTE(EF8))-((HOUR(EE8)*60)+MINUTE(EE8)),"")</f>
        <v>36</v>
      </c>
      <c r="EI8" s="20" t="s">
        <v>29</v>
      </c>
      <c r="EJ8" s="20" t="n">
        <v>0.361805555555556</v>
      </c>
      <c r="EK8" s="20" t="n">
        <v>0.386805555555556</v>
      </c>
      <c r="EL8" s="1" t="str">
        <f aca="false">"[""" &amp; EI8 &amp; """, """ &amp; IF(EJ8="","",TEXT(EJ8,"h:mm")) &amp; """, """ &amp; IF(EK8="","",TEXT(EK8,"h:mm")) &amp; """],"</f>
        <v>["別府", "8:41", "9:17"],</v>
      </c>
      <c r="EM8" s="18" t="n">
        <f aca="false">IF(AND(LEN(EJ8)&lt;&gt;0,LEN(EK8)&lt;&gt;0),((HOUR(EK8)*60)+MINUTE(EK8))-((HOUR(EJ8)*60)+MINUTE(EJ8)),"")</f>
        <v>36</v>
      </c>
      <c r="EN8" s="20" t="s">
        <v>29</v>
      </c>
      <c r="EO8" s="20" t="n">
        <v>0.361805555555556</v>
      </c>
      <c r="EP8" s="20" t="n">
        <v>0.386805555555556</v>
      </c>
      <c r="EQ8" s="1" t="str">
        <f aca="false">"[""" &amp; EN8 &amp; """, """ &amp; IF(EO8="","",TEXT(EO8,"h:mm")) &amp; """, """ &amp; IF(EP8="","",TEXT(EP8,"h:mm")) &amp; """],"</f>
        <v>["別府", "8:41", "9:17"],</v>
      </c>
      <c r="ER8" s="18" t="n">
        <f aca="false">IF(AND(LEN(EO8)&lt;&gt;0,LEN(EP8)&lt;&gt;0),((HOUR(EP8)*60)+MINUTE(EP8))-((HOUR(EO8)*60)+MINUTE(EO8)),"")</f>
        <v>36</v>
      </c>
    </row>
    <row r="9" customFormat="false" ht="18" hidden="false" customHeight="false" outlineLevel="0" collapsed="false">
      <c r="A9" s="16" t="s">
        <v>28</v>
      </c>
      <c r="B9" s="17" t="n">
        <v>0.631944444444444</v>
      </c>
      <c r="C9" s="17" t="n">
        <v>0.652777777777778</v>
      </c>
      <c r="D9" s="1" t="str">
        <f aca="false">"[""" &amp; A9 &amp; """, """ &amp; IF(B9="","",TEXT(B9,"h:mm")) &amp; """, """ &amp; IF(C9="","",TEXT(C9,"h:mm")) &amp; """],"</f>
        <v>["西郷", "15:10", "15:40"],</v>
      </c>
      <c r="E9" s="18" t="n">
        <f aca="false">IF(AND(LEN(B9)&lt;&gt;0,LEN(C9)&lt;&gt;0),((HOUR(C9)*60)+MINUTE(C9))-((HOUR(B9)*60)+MINUTE(B9)),"")</f>
        <v>30</v>
      </c>
      <c r="F9" s="16" t="s">
        <v>32</v>
      </c>
      <c r="G9" s="17" t="n">
        <v>0.555555555555556</v>
      </c>
      <c r="H9" s="17" t="n">
        <v>0.590277777777778</v>
      </c>
      <c r="I9" s="1" t="str">
        <f aca="false">"[""" &amp; F9 &amp; """, """ &amp; IF(G9="","",TEXT(G9,"h:mm")) &amp; """, """ &amp; IF(H9="","",TEXT(H9,"h:mm")) &amp; """],"</f>
        <v>["境港", "13:20", "14:10"],</v>
      </c>
      <c r="J9" s="18" t="n">
        <f aca="false">IF(AND(LEN(G9)&lt;&gt;0,LEN(H9)&lt;&gt;0),((HOUR(H9)*60)+MINUTE(H9))-((HOUR(G9)*60)+MINUTE(G9)),"")</f>
        <v>50</v>
      </c>
      <c r="K9" s="16" t="s">
        <v>28</v>
      </c>
      <c r="L9" s="17" t="n">
        <v>0.631944444444444</v>
      </c>
      <c r="M9" s="17" t="n">
        <v>0.652777777777778</v>
      </c>
      <c r="N9" s="1" t="str">
        <f aca="false">"[""" &amp; K9 &amp; """, """ &amp; IF(L9="","",TEXT(L9,"h:mm")) &amp; """, """ &amp; IF(M9="","",TEXT(M9,"h:mm")) &amp; """],"</f>
        <v>["西郷", "15:10", "15:40"],</v>
      </c>
      <c r="O9" s="18" t="n">
        <f aca="false">IF(AND(LEN(L9)&lt;&gt;0,LEN(M9)&lt;&gt;0),((HOUR(M9)*60)+MINUTE(M9))-((HOUR(L9)*60)+MINUTE(L9)),"")</f>
        <v>30</v>
      </c>
      <c r="P9" s="16" t="s">
        <v>32</v>
      </c>
      <c r="Q9" s="17" t="n">
        <v>0.555555555555556</v>
      </c>
      <c r="R9" s="17" t="n">
        <v>0.590277777777778</v>
      </c>
      <c r="S9" s="1" t="str">
        <f aca="false">"[""" &amp; P9 &amp; """, """ &amp; IF(Q9="","",TEXT(Q9,"h:mm")) &amp; """, """ &amp; IF(R9="","",TEXT(R9,"h:mm")) &amp; """],"</f>
        <v>["境港", "13:20", "14:10"],</v>
      </c>
      <c r="T9" s="18" t="n">
        <f aca="false">IF(AND(LEN(Q9)&lt;&gt;0,LEN(R9)&lt;&gt;0),((HOUR(R9)*60)+MINUTE(R9))-((HOUR(Q9)*60)+MINUTE(Q9)),"")</f>
        <v>50</v>
      </c>
      <c r="U9" s="16" t="s">
        <v>27</v>
      </c>
      <c r="V9" s="17" t="n">
        <v>0.746527777777778</v>
      </c>
      <c r="W9" s="16"/>
      <c r="X9" s="1" t="str">
        <f aca="false">"[""" &amp; U9 &amp; """, """ &amp; IF(V9="","",TEXT(V9,"h:mm")) &amp; """, """ &amp; IF(W9="","",TEXT(W9,"h:mm")) &amp; """]"</f>
        <v>["七類", "17:55", ""]</v>
      </c>
      <c r="Y9" s="18" t="str">
        <f aca="false">IF(AND(LEN(V9)&lt;&gt;0,LEN(W9)&lt;&gt;0),((HOUR(W9)*60)+MINUTE(W9))-((HOUR(V9)*60)+MINUTE(V9)),"")</f>
        <v/>
      </c>
      <c r="Z9" s="16" t="s">
        <v>28</v>
      </c>
      <c r="AA9" s="17" t="n">
        <v>0.583333333333333</v>
      </c>
      <c r="AB9" s="17" t="n">
        <v>0.631944444444444</v>
      </c>
      <c r="AC9" s="1" t="str">
        <f aca="false">"[""" &amp; Z9 &amp; """, """ &amp; IF(AA9="","",TEXT(AA9,"h:mm")) &amp; """, """ &amp; IF(AB9="","",TEXT(AB9,"h:mm")) &amp; """],"</f>
        <v>["西郷", "14:00", "15:10"],</v>
      </c>
      <c r="AD9" s="18" t="n">
        <f aca="false">IF(AND(LEN(AA9)&lt;&gt;0,LEN(AB9)&lt;&gt;0),((HOUR(AB9)*60)+MINUTE(AB9))-((HOUR(AA9)*60)+MINUTE(AA9)),"")</f>
        <v>70</v>
      </c>
      <c r="AE9" s="16" t="s">
        <v>32</v>
      </c>
      <c r="AF9" s="17" t="n">
        <v>0.555555555555556</v>
      </c>
      <c r="AG9" s="17" t="n">
        <v>0.600694444444444</v>
      </c>
      <c r="AH9" s="1" t="str">
        <f aca="false">"[""" &amp; AE9 &amp; """, """ &amp; IF(AF9="","",TEXT(AF9,"h:mm")) &amp; """, """ &amp; IF(AG9="","",TEXT(AG9,"h:mm")) &amp; """],"</f>
        <v>["境港", "13:20", "14:25"],</v>
      </c>
      <c r="AI9" s="18" t="n">
        <f aca="false">IF(AND(LEN(AF9)&lt;&gt;0,LEN(AG9)&lt;&gt;0),((HOUR(AG9)*60)+MINUTE(AG9))-((HOUR(AF9)*60)+MINUTE(AF9)),"")</f>
        <v>65</v>
      </c>
      <c r="AJ9" s="16" t="s">
        <v>27</v>
      </c>
      <c r="AK9" s="17" t="n">
        <v>0.833333333333333</v>
      </c>
      <c r="AL9" s="16"/>
      <c r="AM9" s="1" t="str">
        <f aca="false">"[""" &amp; AJ9 &amp; """, """ &amp; IF(AK9="","",TEXT(AK9,"h:mm")) &amp; """, """ &amp; IF(AL9="","",TEXT(AL9,"h:mm")) &amp; """]"</f>
        <v>["七類", "20:00", ""]</v>
      </c>
      <c r="AN9" s="18" t="str">
        <f aca="false">IF(AND(LEN(AK9)&lt;&gt;0,LEN(AL9)&lt;&gt;0),((HOUR(AL9)*60)+MINUTE(AL9))-((HOUR(AK9)*60)+MINUTE(AK9)),"")</f>
        <v/>
      </c>
      <c r="AO9" s="16" t="s">
        <v>28</v>
      </c>
      <c r="AP9" s="17" t="n">
        <v>0.583333333333333</v>
      </c>
      <c r="AQ9" s="17" t="n">
        <v>0.597222222222222</v>
      </c>
      <c r="AR9" s="1" t="str">
        <f aca="false">"[""" &amp; AO9 &amp; """, """ &amp; IF(AP9="","",TEXT(AP9,"h:mm")) &amp; """, """ &amp; IF(AQ9="","",TEXT(AQ9,"h:mm")) &amp; """],"</f>
        <v>["西郷", "14:00", "14:20"],</v>
      </c>
      <c r="AS9" s="18" t="n">
        <f aca="false">IF(AND(LEN(AP9)&lt;&gt;0,LEN(AQ9)&lt;&gt;0),((HOUR(AQ9)*60)+MINUTE(AQ9))-((HOUR(AP9)*60)+MINUTE(AP9)),"")</f>
        <v>20</v>
      </c>
      <c r="AT9" s="16" t="s">
        <v>32</v>
      </c>
      <c r="AU9" s="17" t="n">
        <v>0.555555555555556</v>
      </c>
      <c r="AV9" s="17" t="n">
        <v>0.600694444444444</v>
      </c>
      <c r="AW9" s="1" t="str">
        <f aca="false">"[""" &amp; AT9 &amp; """, """ &amp; IF(AU9="","",TEXT(AU9,"h:mm")) &amp; """, """ &amp; IF(AV9="","",TEXT(AV9,"h:mm")) &amp; """],"</f>
        <v>["境港", "13:20", "14:25"],</v>
      </c>
      <c r="AX9" s="18" t="n">
        <f aca="false">IF(AND(LEN(AU9)&lt;&gt;0,LEN(AV9)&lt;&gt;0),((HOUR(AV9)*60)+MINUTE(AV9))-((HOUR(AU9)*60)+MINUTE(AU9)),"")</f>
        <v>65</v>
      </c>
      <c r="AZ9" s="16" t="s">
        <v>28</v>
      </c>
      <c r="BA9" s="17" t="n">
        <v>0.73125</v>
      </c>
      <c r="BB9" s="17" t="n">
        <v>0.735416666666667</v>
      </c>
      <c r="BC9" s="1" t="str">
        <f aca="false">"[""" &amp; AZ9 &amp; """, """ &amp; IF(BA9="","",TEXT(BA9,"h:mm")) &amp; """, """ &amp; IF(BB9="","",TEXT(BB9,"h:mm")) &amp; """],"</f>
        <v>["西郷", "17:33", "17:39"],</v>
      </c>
      <c r="BD9" s="18" t="n">
        <f aca="false">IF(AND(LEN(BA9)&lt;&gt;0,LEN(BB9)&lt;&gt;0),((HOUR(BB9)*60)+MINUTE(BB9))-((HOUR(BA9)*60)+MINUTE(BA9)),"")</f>
        <v>6</v>
      </c>
      <c r="BE9" s="16" t="s">
        <v>28</v>
      </c>
      <c r="BF9" s="17" t="n">
        <v>0.749305555555556</v>
      </c>
      <c r="BG9" s="17" t="n">
        <v>0.753472222222222</v>
      </c>
      <c r="BH9" s="1" t="str">
        <f aca="false">"[""" &amp; BE9 &amp; """, """ &amp; IF(BF9="","",TEXT(BF9,"h:mm")) &amp; """, """ &amp; IF(BG9="","",TEXT(BG9,"h:mm")) &amp; """],"</f>
        <v>["西郷", "17:59", "18:05"],</v>
      </c>
      <c r="BI9" s="18" t="n">
        <f aca="false">IF(AND(LEN(BF9)&lt;&gt;0,LEN(BG9)&lt;&gt;0),((HOUR(BG9)*60)+MINUTE(BG9))-((HOUR(BF9)*60)+MINUTE(BF9)),"")</f>
        <v>6</v>
      </c>
      <c r="BJ9" s="16" t="s">
        <v>28</v>
      </c>
      <c r="BK9" s="17" t="n">
        <v>0.557638888888889</v>
      </c>
      <c r="BL9" s="17" t="n">
        <v>0.5625</v>
      </c>
      <c r="BM9" s="1" t="str">
        <f aca="false">"[""" &amp; BJ9 &amp; """, """ &amp; IF(BK9="","",TEXT(BK9,"h:mm")) &amp; """, """ &amp; IF(BL9="","",TEXT(BL9,"h:mm")) &amp; """],"</f>
        <v>["西郷", "13:23", "13:30"],</v>
      </c>
      <c r="BN9" s="18" t="n">
        <f aca="false">IF(AND(LEN(BK9)&lt;&gt;0,LEN(BL9)&lt;&gt;0),((HOUR(BL9)*60)+MINUTE(BL9))-((HOUR(BK9)*60)+MINUTE(BK9)),"")</f>
        <v>7</v>
      </c>
      <c r="BO9" s="16" t="s">
        <v>28</v>
      </c>
      <c r="BP9" s="17" t="n">
        <v>0.704166666666667</v>
      </c>
      <c r="BQ9" s="17" t="n">
        <v>0.708333333333333</v>
      </c>
      <c r="BR9" s="1" t="str">
        <f aca="false">"[""" &amp; BO9 &amp; """, """ &amp; IF(BP9="","",TEXT(BP9,"h:mm")) &amp; """, """ &amp; IF(BQ9="","",TEXT(BQ9,"h:mm")) &amp; """],"</f>
        <v>["西郷", "16:54", "17:00"],</v>
      </c>
      <c r="BS9" s="18" t="n">
        <f aca="false">IF(AND(LEN(BP9)&lt;&gt;0,LEN(BQ9)&lt;&gt;0),((HOUR(BQ9)*60)+MINUTE(BQ9))-((HOUR(BP9)*60)+MINUTE(BP9)),"")</f>
        <v>6</v>
      </c>
      <c r="BT9" s="16" t="s">
        <v>28</v>
      </c>
      <c r="BU9" s="17" t="n">
        <v>0.689583333333333</v>
      </c>
      <c r="BV9" s="17" t="n">
        <v>0.69375</v>
      </c>
      <c r="BW9" s="1" t="str">
        <f aca="false">"[""" &amp; BT9 &amp; """, """ &amp; IF(BU9="","",TEXT(BU9,"h:mm")) &amp; """, """ &amp; IF(BV9="","",TEXT(BV9,"h:mm")) &amp; """],"</f>
        <v>["西郷", "16:33", "16:39"],</v>
      </c>
      <c r="BX9" s="18" t="n">
        <f aca="false">IF(AND(LEN(BU9)&lt;&gt;0,LEN(BV9)&lt;&gt;0),((HOUR(BV9)*60)+MINUTE(BV9))-((HOUR(BU9)*60)+MINUTE(BU9)),"")</f>
        <v>6</v>
      </c>
      <c r="BZ9" s="19" t="s">
        <v>30</v>
      </c>
      <c r="CA9" s="19" t="n">
        <v>0.4875</v>
      </c>
      <c r="CB9" s="19" t="n">
        <v>0.666666666666667</v>
      </c>
      <c r="CC9" s="1" t="str">
        <f aca="false">"[""" &amp; BZ9 &amp; """, """ &amp; IF(CA9="","",TEXT(CA9,"h:mm")) &amp; """, """ &amp; IF(CB9="","",TEXT(CB9,"h:mm")) &amp; """],"</f>
        <v>["菱浦", "11:42", "16:00"],</v>
      </c>
      <c r="CD9" s="18" t="n">
        <f aca="false">IF(AND(LEN(CA9)&lt;&gt;0,LEN(CB9)&lt;&gt;0),((HOUR(CB9)*60)+MINUTE(CB9))-((HOUR(CA9)*60)+MINUTE(CA9)),"")</f>
        <v>258</v>
      </c>
      <c r="CE9" s="19" t="s">
        <v>30</v>
      </c>
      <c r="CF9" s="19" t="n">
        <v>0.744444444444445</v>
      </c>
      <c r="CH9" s="1" t="str">
        <f aca="false">"[""" &amp; CE9 &amp; """, """ &amp; IF(CF9="","",TEXT(CF9,"h:mm")) &amp; """, """ &amp; IF(CG9="","",TEXT(CG9,"h:mm")) &amp; """]"</f>
        <v>["菱浦", "17:52", ""]</v>
      </c>
      <c r="CI9" s="18" t="str">
        <f aca="false">IF(AND(LEN(CF9)&lt;&gt;0,LEN(CG9)&lt;&gt;0),((HOUR(CG9)*60)+MINUTE(CG9))-((HOUR(CF9)*60)+MINUTE(CF9)),"")</f>
        <v/>
      </c>
      <c r="CJ9" s="19" t="s">
        <v>30</v>
      </c>
      <c r="CK9" s="19" t="n">
        <v>0.369444444444444</v>
      </c>
      <c r="CL9" s="19" t="n">
        <v>0.375</v>
      </c>
      <c r="CM9" s="1" t="str">
        <f aca="false">"[""" &amp; CJ9 &amp; """, """ &amp; IF(CK9="","",TEXT(CK9,"h:mm")) &amp; """, """ &amp; IF(CL9="","",TEXT(CL9,"h:mm")) &amp; """],"</f>
        <v>["菱浦", "8:52", "9:00"],</v>
      </c>
      <c r="CN9" s="18" t="n">
        <f aca="false">IF(AND(LEN(CK9)&lt;&gt;0,LEN(CL9)&lt;&gt;0),((HOUR(CL9)*60)+MINUTE(CL9))-((HOUR(CK9)*60)+MINUTE(CK9)),"")</f>
        <v>8</v>
      </c>
      <c r="CO9" s="19" t="s">
        <v>30</v>
      </c>
      <c r="CP9" s="19" t="n">
        <v>0.369444444444444</v>
      </c>
      <c r="CQ9" s="19" t="n">
        <v>0.375</v>
      </c>
      <c r="CR9" s="1" t="str">
        <f aca="false">"[""" &amp; CO9 &amp; """, """ &amp; IF(CP9="","",TEXT(CP9,"h:mm")) &amp; """, """ &amp; IF(CQ9="","",TEXT(CQ9,"h:mm")) &amp; """],"</f>
        <v>["菱浦", "8:52", "9:00"],</v>
      </c>
      <c r="CS9" s="18" t="n">
        <f aca="false">IF(AND(LEN(CP9)&lt;&gt;0,LEN(CQ9)&lt;&gt;0),((HOUR(CQ9)*60)+MINUTE(CQ9))-((HOUR(CP9)*60)+MINUTE(CP9)),"")</f>
        <v>8</v>
      </c>
      <c r="CU9" s="19" t="s">
        <v>30</v>
      </c>
      <c r="CV9" s="19" t="n">
        <v>0.375694444444445</v>
      </c>
      <c r="CW9" s="19" t="n">
        <v>0.377083333333333</v>
      </c>
      <c r="CX9" s="1" t="str">
        <f aca="false">"[""" &amp; CU9 &amp; """, """ &amp; IF(CV9="","",TEXT(CV9,"h:mm")) &amp; """, """ &amp; IF(CW9="","",TEXT(CW9,"h:mm")) &amp; """],"</f>
        <v>["菱浦", "9:01", "9:03"],</v>
      </c>
      <c r="CY9" s="18" t="n">
        <f aca="false">IF(AND(LEN(CV9)&lt;&gt;0,LEN(CW9)&lt;&gt;0),((HOUR(CW9)*60)+MINUTE(CW9))-((HOUR(CV9)*60)+MINUTE(CV9)),"")</f>
        <v>2</v>
      </c>
      <c r="CZ9" s="20" t="s">
        <v>29</v>
      </c>
      <c r="DA9" s="20" t="n">
        <v>0.348611111111111</v>
      </c>
      <c r="DB9" s="20" t="n">
        <v>0.350694444444444</v>
      </c>
      <c r="DC9" s="1" t="str">
        <f aca="false">"[""" &amp; CZ9 &amp; """, """ &amp; IF(DA9="","",TEXT(DA9,"h:mm")) &amp; """, """ &amp; IF(DB9="","",TEXT(DB9,"h:mm")) &amp; """],"</f>
        <v>["別府", "8:22", "8:25"],</v>
      </c>
      <c r="DD9" s="18" t="n">
        <f aca="false">IF(AND(LEN(DA9)&lt;&gt;0,LEN(DB9)&lt;&gt;0),((HOUR(DB9)*60)+MINUTE(DB9))-((HOUR(DA9)*60)+MINUTE(DA9)),"")</f>
        <v>3</v>
      </c>
      <c r="DE9" s="20" t="s">
        <v>29</v>
      </c>
      <c r="DF9" s="20" t="n">
        <v>0.348611111111111</v>
      </c>
      <c r="DG9" s="20" t="n">
        <v>0.350694444444444</v>
      </c>
      <c r="DH9" s="1" t="str">
        <f aca="false">"[""" &amp; DE9 &amp; """, """ &amp; IF(DF9="","",TEXT(DF9,"h:mm")) &amp; """, """ &amp; IF(DG9="","",TEXT(DG9,"h:mm")) &amp; """],"</f>
        <v>["別府", "8:22", "8:25"],</v>
      </c>
      <c r="DI9" s="18" t="n">
        <f aca="false">IF(AND(LEN(DF9)&lt;&gt;0,LEN(DG9)&lt;&gt;0),((HOUR(DG9)*60)+MINUTE(DG9))-((HOUR(DF9)*60)+MINUTE(DF9)),"")</f>
        <v>3</v>
      </c>
      <c r="DJ9" s="20" t="s">
        <v>29</v>
      </c>
      <c r="DK9" s="20" t="n">
        <v>0.348611111111111</v>
      </c>
      <c r="DL9" s="20" t="n">
        <v>0.350694444444444</v>
      </c>
      <c r="DM9" s="1" t="str">
        <f aca="false">"[""" &amp; DJ9 &amp; """, """ &amp; IF(DK9="","",TEXT(DK9,"h:mm")) &amp; """, """ &amp; IF(DL9="","",TEXT(DL9,"h:mm")) &amp; """],"</f>
        <v>["別府", "8:22", "8:25"],</v>
      </c>
      <c r="DN9" s="18" t="n">
        <f aca="false">IF(AND(LEN(DK9)&lt;&gt;0,LEN(DL9)&lt;&gt;0),((HOUR(DL9)*60)+MINUTE(DL9))-((HOUR(DK9)*60)+MINUTE(DK9)),"")</f>
        <v>3</v>
      </c>
      <c r="DO9" s="20" t="s">
        <v>29</v>
      </c>
      <c r="DP9" s="20" t="n">
        <v>0.348611111111111</v>
      </c>
      <c r="DQ9" s="20" t="n">
        <v>0.350694444444444</v>
      </c>
      <c r="DR9" s="1" t="str">
        <f aca="false">"[""" &amp; DO9 &amp; """, """ &amp; IF(DP9="","",TEXT(DP9,"h:mm")) &amp; """, """ &amp; IF(DQ9="","",TEXT(DQ9,"h:mm")) &amp; """],"</f>
        <v>["別府", "8:22", "8:25"],</v>
      </c>
      <c r="DS9" s="18" t="n">
        <f aca="false">IF(AND(LEN(DP9)&lt;&gt;0,LEN(DQ9)&lt;&gt;0),((HOUR(DQ9)*60)+MINUTE(DQ9))-((HOUR(DP9)*60)+MINUTE(DP9)),"")</f>
        <v>3</v>
      </c>
      <c r="DT9" s="20" t="s">
        <v>29</v>
      </c>
      <c r="DU9" s="20" t="n">
        <v>0.382638888888889</v>
      </c>
      <c r="DV9" s="20" t="n">
        <v>0.5</v>
      </c>
      <c r="DW9" s="1" t="str">
        <f aca="false">"[""" &amp; DT9 &amp; """, """ &amp; IF(DU9="","",TEXT(DU9,"h:mm")) &amp; """, """ &amp; IF(DV9="","",TEXT(DV9,"h:mm")) &amp; """],"</f>
        <v>["別府", "9:11", "12:00"],</v>
      </c>
      <c r="DX9" s="18" t="n">
        <f aca="false">IF(AND(LEN(DU9)&lt;&gt;0,LEN(DV9)&lt;&gt;0),((HOUR(DV9)*60)+MINUTE(DV9))-((HOUR(DU9)*60)+MINUTE(DU9)),"")</f>
        <v>169</v>
      </c>
      <c r="DY9" s="19" t="s">
        <v>30</v>
      </c>
      <c r="DZ9" s="19" t="n">
        <v>0.391666666666667</v>
      </c>
      <c r="EA9" s="19" t="n">
        <v>0.393055555555556</v>
      </c>
      <c r="EB9" s="1" t="str">
        <f aca="false">"[""" &amp; DY9 &amp; """, """ &amp; IF(DZ9="","",TEXT(DZ9,"h:mm")) &amp; """, """ &amp; IF(EA9="","",TEXT(EA9,"h:mm")) &amp; """],"</f>
        <v>["菱浦", "9:24", "9:26"],</v>
      </c>
      <c r="EC9" s="18" t="n">
        <f aca="false">IF(AND(LEN(DZ9)&lt;&gt;0,LEN(EA9)&lt;&gt;0),((HOUR(EA9)*60)+MINUTE(EA9))-((HOUR(DZ9)*60)+MINUTE(DZ9)),"")</f>
        <v>2</v>
      </c>
      <c r="ED9" s="19" t="s">
        <v>30</v>
      </c>
      <c r="EE9" s="19" t="n">
        <v>0.391666666666667</v>
      </c>
      <c r="EF9" s="19" t="n">
        <v>0.393055555555556</v>
      </c>
      <c r="EG9" s="1" t="str">
        <f aca="false">"[""" &amp; ED9 &amp; """, """ &amp; IF(EE9="","",TEXT(EE9,"h:mm")) &amp; """, """ &amp; IF(EF9="","",TEXT(EF9,"h:mm")) &amp; """],"</f>
        <v>["菱浦", "9:24", "9:26"],</v>
      </c>
      <c r="EH9" s="18" t="n">
        <f aca="false">IF(AND(LEN(EE9)&lt;&gt;0,LEN(EF9)&lt;&gt;0),((HOUR(EF9)*60)+MINUTE(EF9))-((HOUR(EE9)*60)+MINUTE(EE9)),"")</f>
        <v>2</v>
      </c>
      <c r="EI9" s="19" t="s">
        <v>30</v>
      </c>
      <c r="EJ9" s="19" t="n">
        <v>0.391666666666667</v>
      </c>
      <c r="EK9" s="19" t="n">
        <v>0.393055555555556</v>
      </c>
      <c r="EL9" s="1" t="str">
        <f aca="false">"[""" &amp; EI9 &amp; """, """ &amp; IF(EJ9="","",TEXT(EJ9,"h:mm")) &amp; """, """ &amp; IF(EK9="","",TEXT(EK9,"h:mm")) &amp; """],"</f>
        <v>["菱浦", "9:24", "9:26"],</v>
      </c>
      <c r="EM9" s="18" t="n">
        <f aca="false">IF(AND(LEN(EJ9)&lt;&gt;0,LEN(EK9)&lt;&gt;0),((HOUR(EK9)*60)+MINUTE(EK9))-((HOUR(EJ9)*60)+MINUTE(EJ9)),"")</f>
        <v>2</v>
      </c>
      <c r="EN9" s="19" t="s">
        <v>30</v>
      </c>
      <c r="EO9" s="19" t="n">
        <v>0.391666666666667</v>
      </c>
      <c r="EP9" s="19" t="n">
        <v>0.393055555555556</v>
      </c>
      <c r="EQ9" s="1" t="str">
        <f aca="false">"[""" &amp; EN9 &amp; """, """ &amp; IF(EO9="","",TEXT(EO9,"h:mm")) &amp; """, """ &amp; IF(EP9="","",TEXT(EP9,"h:mm")) &amp; """],"</f>
        <v>["菱浦", "9:24", "9:26"],</v>
      </c>
      <c r="ER9" s="18" t="n">
        <f aca="false">IF(AND(LEN(EO9)&lt;&gt;0,LEN(EP9)&lt;&gt;0),((HOUR(EP9)*60)+MINUTE(EP9))-((HOUR(EO9)*60)+MINUTE(EO9)),"")</f>
        <v>2</v>
      </c>
    </row>
    <row r="10" customFormat="false" ht="18" hidden="false" customHeight="false" outlineLevel="0" collapsed="false">
      <c r="A10" s="16" t="s">
        <v>27</v>
      </c>
      <c r="B10" s="17" t="n">
        <v>0.753472222222222</v>
      </c>
      <c r="C10" s="16"/>
      <c r="D10" s="1" t="str">
        <f aca="false">"[""" &amp; A10 &amp; """, """ &amp; IF(B10="","",TEXT(B10,"h:mm")) &amp; """, """ &amp; IF(C10="","",TEXT(C10,"h:mm")) &amp; """]"</f>
        <v>["七類", "18:05", ""]</v>
      </c>
      <c r="E10" s="18" t="str">
        <f aca="false">IF(AND(LEN(B10)&lt;&gt;0,LEN(C10)&lt;&gt;0),((HOUR(C10)*60)+MINUTE(C10))-((HOUR(B10)*60)+MINUTE(B10)),"")</f>
        <v/>
      </c>
      <c r="F10" s="16" t="s">
        <v>31</v>
      </c>
      <c r="G10" s="17" t="n">
        <v>0.690972222222222</v>
      </c>
      <c r="H10" s="16" t="n">
        <v>0.694444444444445</v>
      </c>
      <c r="I10" s="1" t="str">
        <f aca="false">"[""" &amp; F10 &amp; """, """ &amp; IF(G10="","",TEXT(G10,"h:mm")) &amp; """, """ &amp; IF(H10="","",TEXT(H10,"h:mm")) &amp; """],"</f>
        <v>["来居", "16:35", "16:40"],</v>
      </c>
      <c r="J10" s="18" t="n">
        <f aca="false">IF(AND(LEN(G10)&lt;&gt;0,LEN(H10)&lt;&gt;0),((HOUR(H10)*60)+MINUTE(H10))-((HOUR(G10)*60)+MINUTE(G10)),"")</f>
        <v>5</v>
      </c>
      <c r="K10" s="16" t="s">
        <v>27</v>
      </c>
      <c r="L10" s="17" t="n">
        <v>0.753472222222222</v>
      </c>
      <c r="M10" s="16"/>
      <c r="N10" s="1" t="str">
        <f aca="false">"[""" &amp; K10 &amp; """, """ &amp; IF(L10="","",TEXT(L10,"h:mm")) &amp; """, """ &amp; IF(M10="","",TEXT(M10,"h:mm")) &amp; """]"</f>
        <v>["七類", "18:05", ""]</v>
      </c>
      <c r="O10" s="18" t="str">
        <f aca="false">IF(AND(LEN(L10)&lt;&gt;0,LEN(M10)&lt;&gt;0),((HOUR(M10)*60)+MINUTE(M10))-((HOUR(L10)*60)+MINUTE(L10)),"")</f>
        <v/>
      </c>
      <c r="P10" s="16" t="s">
        <v>31</v>
      </c>
      <c r="Q10" s="17" t="n">
        <v>0.690972222222222</v>
      </c>
      <c r="R10" s="16" t="n">
        <v>0.694444444444445</v>
      </c>
      <c r="S10" s="1" t="str">
        <f aca="false">"[""" &amp; P10 &amp; """, """ &amp; IF(Q10="","",TEXT(Q10,"h:mm")) &amp; """, """ &amp; IF(R10="","",TEXT(R10,"h:mm")) &amp; """],"</f>
        <v>["来居", "16:35", "16:40"],</v>
      </c>
      <c r="T10" s="18" t="n">
        <f aca="false">IF(AND(LEN(Q10)&lt;&gt;0,LEN(R10)&lt;&gt;0),((HOUR(R10)*60)+MINUTE(R10))-((HOUR(Q10)*60)+MINUTE(Q10)),"")</f>
        <v>5</v>
      </c>
      <c r="X10" s="1" t="s">
        <v>33</v>
      </c>
      <c r="Y10" s="18" t="str">
        <f aca="false">IF(AND(LEN(V10)&lt;&gt;0,LEN(W10)&lt;&gt;0),((HOUR(W10)*60)+MINUTE(W10))-((HOUR(V10)*60)+MINUTE(V10)),"")</f>
        <v/>
      </c>
      <c r="Z10" s="16" t="s">
        <v>27</v>
      </c>
      <c r="AA10" s="17" t="n">
        <v>0.732638888888889</v>
      </c>
      <c r="AB10" s="16"/>
      <c r="AC10" s="1" t="str">
        <f aca="false">"[""" &amp; Z10 &amp; """, """ &amp; IF(AA10="","",TEXT(AA10,"h:mm")) &amp; """, """ &amp; IF(AB10="","",TEXT(AB10,"h:mm")) &amp; """]"</f>
        <v>["七類", "17:35", ""]</v>
      </c>
      <c r="AD10" s="18" t="str">
        <f aca="false">IF(AND(LEN(AA10)&lt;&gt;0,LEN(AB10)&lt;&gt;0),((HOUR(AB10)*60)+MINUTE(AB10))-((HOUR(AA10)*60)+MINUTE(AA10)),"")</f>
        <v/>
      </c>
      <c r="AE10" s="16" t="s">
        <v>29</v>
      </c>
      <c r="AF10" s="17" t="n">
        <v>0.711805555555556</v>
      </c>
      <c r="AG10" s="17" t="n">
        <v>0.71875</v>
      </c>
      <c r="AH10" s="1" t="str">
        <f aca="false">"[""" &amp; AE10 &amp; """, """ &amp; IF(AF10="","",TEXT(AF10,"h:mm")) &amp; """, """ &amp; IF(AG10="","",TEXT(AG10,"h:mm")) &amp; """],"</f>
        <v>["別府", "17:05", "17:15"],</v>
      </c>
      <c r="AI10" s="18" t="n">
        <f aca="false">IF(AND(LEN(AF10)&lt;&gt;0,LEN(AG10)&lt;&gt;0),((HOUR(AG10)*60)+MINUTE(AG10))-((HOUR(AF10)*60)+MINUTE(AF10)),"")</f>
        <v>10</v>
      </c>
      <c r="AM10" s="1" t="s">
        <v>33</v>
      </c>
      <c r="AN10" s="18" t="str">
        <f aca="false">IF(AND(LEN(AK10)&lt;&gt;0,LEN(AL10)&lt;&gt;0),((HOUR(AL10)*60)+MINUTE(AL10))-((HOUR(AK10)*60)+MINUTE(AK10)),"")</f>
        <v/>
      </c>
      <c r="AO10" s="16" t="s">
        <v>30</v>
      </c>
      <c r="AP10" s="17" t="n">
        <v>0.645833333333333</v>
      </c>
      <c r="AQ10" s="16" t="n">
        <v>0.65625</v>
      </c>
      <c r="AR10" s="1" t="str">
        <f aca="false">"[""" &amp; AO10 &amp; """, """ &amp; IF(AP10="","",TEXT(AP10,"h:mm")) &amp; """, """ &amp; IF(AQ10="","",TEXT(AQ10,"h:mm")) &amp; """],"</f>
        <v>["菱浦", "15:30", "15:45"],</v>
      </c>
      <c r="AS10" s="18" t="n">
        <f aca="false">IF(AND(LEN(AP10)&lt;&gt;0,LEN(AQ10)&lt;&gt;0),((HOUR(AQ10)*60)+MINUTE(AQ10))-((HOUR(AP10)*60)+MINUTE(AP10)),"")</f>
        <v>15</v>
      </c>
      <c r="AT10" s="16" t="s">
        <v>29</v>
      </c>
      <c r="AU10" s="17" t="n">
        <v>0.711805555555556</v>
      </c>
      <c r="AV10" s="17" t="n">
        <v>0.71875</v>
      </c>
      <c r="AW10" s="1" t="str">
        <f aca="false">"[""" &amp; AT10 &amp; """, """ &amp; IF(AU10="","",TEXT(AU10,"h:mm")) &amp; """, """ &amp; IF(AV10="","",TEXT(AV10,"h:mm")) &amp; """],"</f>
        <v>["別府", "17:05", "17:15"],</v>
      </c>
      <c r="AX10" s="18" t="n">
        <f aca="false">IF(AND(LEN(AU10)&lt;&gt;0,LEN(AV10)&lt;&gt;0),((HOUR(AV10)*60)+MINUTE(AV10))-((HOUR(AU10)*60)+MINUTE(AU10)),"")</f>
        <v>10</v>
      </c>
      <c r="AZ10" s="16" t="s">
        <v>30</v>
      </c>
      <c r="BA10" s="17" t="n">
        <v>0.756944444444445</v>
      </c>
      <c r="BB10" s="16" t="n">
        <v>0.759027777777778</v>
      </c>
      <c r="BC10" s="1" t="str">
        <f aca="false">"[""" &amp; AZ10 &amp; """, """ &amp; IF(BA10="","",TEXT(BA10,"h:mm")) &amp; """, """ &amp; IF(BB10="","",TEXT(BB10,"h:mm")) &amp; """],"</f>
        <v>["菱浦", "18:10", "18:13"],</v>
      </c>
      <c r="BD10" s="18" t="n">
        <f aca="false">IF(AND(LEN(BA10)&lt;&gt;0,LEN(BB10)&lt;&gt;0),((HOUR(BB10)*60)+MINUTE(BB10))-((HOUR(BA10)*60)+MINUTE(BA10)),"")</f>
        <v>3</v>
      </c>
      <c r="BE10" s="16" t="s">
        <v>30</v>
      </c>
      <c r="BF10" s="17" t="n">
        <v>0.775</v>
      </c>
      <c r="BG10" s="16" t="n">
        <v>0.777083333333333</v>
      </c>
      <c r="BH10" s="1" t="str">
        <f aca="false">"[""" &amp; BE10 &amp; """, """ &amp; IF(BF10="","",TEXT(BF10,"h:mm")) &amp; """, """ &amp; IF(BG10="","",TEXT(BG10,"h:mm")) &amp; """],"</f>
        <v>["菱浦", "18:36", "18:39"],</v>
      </c>
      <c r="BI10" s="18" t="n">
        <f aca="false">IF(AND(LEN(BF10)&lt;&gt;0,LEN(BG10)&lt;&gt;0),((HOUR(BG10)*60)+MINUTE(BG10))-((HOUR(BF10)*60)+MINUTE(BF10)),"")</f>
        <v>3</v>
      </c>
      <c r="BJ10" s="16" t="s">
        <v>29</v>
      </c>
      <c r="BK10" s="17" t="n">
        <v>0.586805555555556</v>
      </c>
      <c r="BL10" s="17" t="n">
        <v>0.591666666666667</v>
      </c>
      <c r="BM10" s="1" t="str">
        <f aca="false">"[""" &amp; BJ10 &amp; """, """ &amp; IF(BK10="","",TEXT(BK10,"h:mm")) &amp; """, """ &amp; IF(BL10="","",TEXT(BL10,"h:mm")) &amp; """],"</f>
        <v>["別府", "14:05", "14:12"],</v>
      </c>
      <c r="BN10" s="18" t="n">
        <f aca="false">IF(AND(LEN(BK10)&lt;&gt;0,LEN(BL10)&lt;&gt;0),((HOUR(BL10)*60)+MINUTE(BL10))-((HOUR(BK10)*60)+MINUTE(BK10)),"")</f>
        <v>7</v>
      </c>
      <c r="BO10" s="16" t="s">
        <v>30</v>
      </c>
      <c r="BP10" s="17" t="n">
        <v>0.729861111111111</v>
      </c>
      <c r="BQ10" s="16" t="n">
        <v>0.731944444444444</v>
      </c>
      <c r="BR10" s="1" t="str">
        <f aca="false">"[""" &amp; BO10 &amp; """, """ &amp; IF(BP10="","",TEXT(BP10,"h:mm")) &amp; """, """ &amp; IF(BQ10="","",TEXT(BQ10,"h:mm")) &amp; """],"</f>
        <v>["菱浦", "17:31", "17:34"],</v>
      </c>
      <c r="BS10" s="18" t="n">
        <f aca="false">IF(AND(LEN(BP10)&lt;&gt;0,LEN(BQ10)&lt;&gt;0),((HOUR(BQ10)*60)+MINUTE(BQ10))-((HOUR(BP10)*60)+MINUTE(BP10)),"")</f>
        <v>3</v>
      </c>
      <c r="BT10" s="16" t="s">
        <v>30</v>
      </c>
      <c r="BU10" s="17" t="n">
        <v>0.715277777777778</v>
      </c>
      <c r="BV10" s="16" t="n">
        <v>0.717361111111111</v>
      </c>
      <c r="BW10" s="1" t="str">
        <f aca="false">"[""" &amp; BT10 &amp; """, """ &amp; IF(BU10="","",TEXT(BU10,"h:mm")) &amp; """, """ &amp; IF(BV10="","",TEXT(BV10,"h:mm")) &amp; """],"</f>
        <v>["菱浦", "17:10", "17:13"],</v>
      </c>
      <c r="BX10" s="18" t="n">
        <f aca="false">IF(AND(LEN(BU10)&lt;&gt;0,LEN(BV10)&lt;&gt;0),((HOUR(BV10)*60)+MINUTE(BV10))-((HOUR(BU10)*60)+MINUTE(BU10)),"")</f>
        <v>3</v>
      </c>
      <c r="BZ10" s="20" t="s">
        <v>29</v>
      </c>
      <c r="CA10" s="20" t="n">
        <v>0.677083333333333</v>
      </c>
      <c r="CB10" s="20" t="n">
        <v>0.680555555555556</v>
      </c>
      <c r="CC10" s="1" t="str">
        <f aca="false">"[""" &amp; BZ10 &amp; """, """ &amp; IF(CA10="","",TEXT(CA10,"h:mm")) &amp; """, """ &amp; IF(CB10="","",TEXT(CB10,"h:mm")) &amp; """],"</f>
        <v>["別府", "16:15", "16:20"],</v>
      </c>
      <c r="CD10" s="18" t="n">
        <f aca="false">IF(AND(LEN(CA10)&lt;&gt;0,LEN(CB10)&lt;&gt;0),((HOUR(CB10)*60)+MINUTE(CB10))-((HOUR(CA10)*60)+MINUTE(CA10)),"")</f>
        <v>5</v>
      </c>
      <c r="CH10" s="1" t="s">
        <v>33</v>
      </c>
      <c r="CI10" s="18" t="str">
        <f aca="false">IF(AND(LEN(CF10)&lt;&gt;0,LEN(CG10)&lt;&gt;0),((HOUR(CG10)*60)+MINUTE(CG10))-((HOUR(CF10)*60)+MINUTE(CF10)),"")</f>
        <v/>
      </c>
      <c r="CJ10" s="20" t="s">
        <v>29</v>
      </c>
      <c r="CK10" s="20" t="n">
        <v>0.385416666666667</v>
      </c>
      <c r="CL10" s="20" t="n">
        <v>0.388888888888889</v>
      </c>
      <c r="CM10" s="1" t="str">
        <f aca="false">"[""" &amp; CJ10 &amp; """, """ &amp; IF(CK10="","",TEXT(CK10,"h:mm")) &amp; """, """ &amp; IF(CL10="","",TEXT(CL10,"h:mm")) &amp; """],"</f>
        <v>["別府", "9:15", "9:20"],</v>
      </c>
      <c r="CN10" s="18" t="n">
        <f aca="false">IF(AND(LEN(CK10)&lt;&gt;0,LEN(CL10)&lt;&gt;0),((HOUR(CL10)*60)+MINUTE(CL10))-((HOUR(CK10)*60)+MINUTE(CK10)),"")</f>
        <v>5</v>
      </c>
      <c r="CO10" s="20" t="s">
        <v>29</v>
      </c>
      <c r="CP10" s="20" t="n">
        <v>0.385416666666667</v>
      </c>
      <c r="CQ10" s="20" t="n">
        <v>0.388888888888889</v>
      </c>
      <c r="CR10" s="1" t="str">
        <f aca="false">"[""" &amp; CO10 &amp; """, """ &amp; IF(CP10="","",TEXT(CP10,"h:mm")) &amp; """, """ &amp; IF(CQ10="","",TEXT(CQ10,"h:mm")) &amp; """],"</f>
        <v>["別府", "9:15", "9:20"],</v>
      </c>
      <c r="CS10" s="18" t="n">
        <f aca="false">IF(AND(LEN(CP10)&lt;&gt;0,LEN(CQ10)&lt;&gt;0),((HOUR(CQ10)*60)+MINUTE(CQ10))-((HOUR(CP10)*60)+MINUTE(CP10)),"")</f>
        <v>5</v>
      </c>
      <c r="CU10" s="20" t="s">
        <v>29</v>
      </c>
      <c r="CV10" s="20" t="n">
        <v>0.382638888888889</v>
      </c>
      <c r="CW10" s="20" t="n">
        <v>0.5</v>
      </c>
      <c r="CX10" s="1" t="str">
        <f aca="false">"[""" &amp; CU10 &amp; """, """ &amp; IF(CV10="","",TEXT(CV10,"h:mm")) &amp; """, """ &amp; IF(CW10="","",TEXT(CW10,"h:mm")) &amp; """],"</f>
        <v>["別府", "9:11", "12:00"],</v>
      </c>
      <c r="CY10" s="18" t="n">
        <f aca="false">IF(AND(LEN(CV10)&lt;&gt;0,LEN(CW10)&lt;&gt;0),((HOUR(CW10)*60)+MINUTE(CW10))-((HOUR(CV10)*60)+MINUTE(CV10)),"")</f>
        <v>169</v>
      </c>
      <c r="CZ10" s="19" t="s">
        <v>30</v>
      </c>
      <c r="DA10" s="19" t="n">
        <v>0.355555555555556</v>
      </c>
      <c r="DB10" s="19" t="n">
        <v>0.356944444444444</v>
      </c>
      <c r="DC10" s="1" t="str">
        <f aca="false">"[""" &amp; CZ10 &amp; """, """ &amp; IF(DA10="","",TEXT(DA10,"h:mm")) &amp; """, """ &amp; IF(DB10="","",TEXT(DB10,"h:mm")) &amp; """],"</f>
        <v>["菱浦", "8:32", "8:34"],</v>
      </c>
      <c r="DD10" s="18" t="n">
        <f aca="false">IF(AND(LEN(DA10)&lt;&gt;0,LEN(DB10)&lt;&gt;0),((HOUR(DB10)*60)+MINUTE(DB10))-((HOUR(DA10)*60)+MINUTE(DA10)),"")</f>
        <v>2</v>
      </c>
      <c r="DE10" s="19" t="s">
        <v>30</v>
      </c>
      <c r="DF10" s="19" t="n">
        <v>0.355555555555556</v>
      </c>
      <c r="DG10" s="19" t="n">
        <v>0.356944444444444</v>
      </c>
      <c r="DH10" s="1" t="str">
        <f aca="false">"[""" &amp; DE10 &amp; """, """ &amp; IF(DF10="","",TEXT(DF10,"h:mm")) &amp; """, """ &amp; IF(DG10="","",TEXT(DG10,"h:mm")) &amp; """],"</f>
        <v>["菱浦", "8:32", "8:34"],</v>
      </c>
      <c r="DI10" s="18" t="n">
        <f aca="false">IF(AND(LEN(DF10)&lt;&gt;0,LEN(DG10)&lt;&gt;0),((HOUR(DG10)*60)+MINUTE(DG10))-((HOUR(DF10)*60)+MINUTE(DF10)),"")</f>
        <v>2</v>
      </c>
      <c r="DJ10" s="19" t="s">
        <v>30</v>
      </c>
      <c r="DK10" s="19" t="n">
        <v>0.355555555555556</v>
      </c>
      <c r="DL10" s="19" t="n">
        <v>0.356944444444444</v>
      </c>
      <c r="DM10" s="1" t="str">
        <f aca="false">"[""" &amp; DJ10 &amp; """, """ &amp; IF(DK10="","",TEXT(DK10,"h:mm")) &amp; """, """ &amp; IF(DL10="","",TEXT(DL10,"h:mm")) &amp; """],"</f>
        <v>["菱浦", "8:32", "8:34"],</v>
      </c>
      <c r="DN10" s="18" t="n">
        <f aca="false">IF(AND(LEN(DK10)&lt;&gt;0,LEN(DL10)&lt;&gt;0),((HOUR(DL10)*60)+MINUTE(DL10))-((HOUR(DK10)*60)+MINUTE(DK10)),"")</f>
        <v>2</v>
      </c>
      <c r="DO10" s="19" t="s">
        <v>30</v>
      </c>
      <c r="DP10" s="19" t="n">
        <v>0.355555555555556</v>
      </c>
      <c r="DQ10" s="19" t="n">
        <v>0.356944444444444</v>
      </c>
      <c r="DR10" s="1" t="str">
        <f aca="false">"[""" &amp; DO10 &amp; """, """ &amp; IF(DP10="","",TEXT(DP10,"h:mm")) &amp; """, """ &amp; IF(DQ10="","",TEXT(DQ10,"h:mm")) &amp; """],"</f>
        <v>["菱浦", "8:32", "8:34"],</v>
      </c>
      <c r="DS10" s="18" t="n">
        <f aca="false">IF(AND(LEN(DP10)&lt;&gt;0,LEN(DQ10)&lt;&gt;0),((HOUR(DQ10)*60)+MINUTE(DQ10))-((HOUR(DP10)*60)+MINUTE(DP10)),"")</f>
        <v>2</v>
      </c>
      <c r="DT10" s="19" t="s">
        <v>30</v>
      </c>
      <c r="DU10" s="19" t="n">
        <v>0.505555555555556</v>
      </c>
      <c r="DV10" s="19" t="n">
        <v>0.539583333333333</v>
      </c>
      <c r="DW10" s="1" t="str">
        <f aca="false">"[""" &amp; DT10 &amp; """, """ &amp; IF(DU10="","",TEXT(DU10,"h:mm")) &amp; """, """ &amp; IF(DV10="","",TEXT(DV10,"h:mm")) &amp; """],"</f>
        <v>["菱浦", "12:08", "12:57"],</v>
      </c>
      <c r="DX10" s="18" t="n">
        <f aca="false">IF(AND(LEN(DU10)&lt;&gt;0,LEN(DV10)&lt;&gt;0),((HOUR(DV10)*60)+MINUTE(DV10))-((HOUR(DU10)*60)+MINUTE(DU10)),"")</f>
        <v>49</v>
      </c>
      <c r="DY10" s="20" t="s">
        <v>29</v>
      </c>
      <c r="DZ10" s="20" t="n">
        <v>0.397916666666667</v>
      </c>
      <c r="EA10" s="20" t="n">
        <v>0.418055555555556</v>
      </c>
      <c r="EB10" s="1" t="str">
        <f aca="false">"[""" &amp; DY10 &amp; """, """ &amp; IF(DZ10="","",TEXT(DZ10,"h:mm")) &amp; """, """ &amp; IF(EA10="","",TEXT(EA10,"h:mm")) &amp; """],"</f>
        <v>["別府", "9:33", "10:02"],</v>
      </c>
      <c r="EC10" s="18" t="n">
        <f aca="false">IF(AND(LEN(DZ10)&lt;&gt;0,LEN(EA10)&lt;&gt;0),((HOUR(EA10)*60)+MINUTE(EA10))-((HOUR(DZ10)*60)+MINUTE(DZ10)),"")</f>
        <v>29</v>
      </c>
      <c r="ED10" s="20" t="s">
        <v>29</v>
      </c>
      <c r="EE10" s="20" t="n">
        <v>0.397916666666667</v>
      </c>
      <c r="EF10" s="20" t="n">
        <v>0.418055555555556</v>
      </c>
      <c r="EG10" s="1" t="str">
        <f aca="false">"[""" &amp; ED10 &amp; """, """ &amp; IF(EE10="","",TEXT(EE10,"h:mm")) &amp; """, """ &amp; IF(EF10="","",TEXT(EF10,"h:mm")) &amp; """],"</f>
        <v>["別府", "9:33", "10:02"],</v>
      </c>
      <c r="EH10" s="18" t="n">
        <f aca="false">IF(AND(LEN(EE10)&lt;&gt;0,LEN(EF10)&lt;&gt;0),((HOUR(EF10)*60)+MINUTE(EF10))-((HOUR(EE10)*60)+MINUTE(EE10)),"")</f>
        <v>29</v>
      </c>
      <c r="EI10" s="20" t="s">
        <v>29</v>
      </c>
      <c r="EJ10" s="20" t="n">
        <v>0.397916666666667</v>
      </c>
      <c r="EK10" s="20" t="n">
        <v>0.418055555555556</v>
      </c>
      <c r="EL10" s="1" t="str">
        <f aca="false">"[""" &amp; EI10 &amp; """, """ &amp; IF(EJ10="","",TEXT(EJ10,"h:mm")) &amp; """, """ &amp; IF(EK10="","",TEXT(EK10,"h:mm")) &amp; """],"</f>
        <v>["別府", "9:33", "10:02"],</v>
      </c>
      <c r="EM10" s="18" t="n">
        <f aca="false">IF(AND(LEN(EJ10)&lt;&gt;0,LEN(EK10)&lt;&gt;0),((HOUR(EK10)*60)+MINUTE(EK10))-((HOUR(EJ10)*60)+MINUTE(EJ10)),"")</f>
        <v>29</v>
      </c>
      <c r="EN10" s="20" t="s">
        <v>29</v>
      </c>
      <c r="EO10" s="20" t="n">
        <v>0.397916666666667</v>
      </c>
      <c r="EP10" s="20" t="n">
        <v>0.418055555555556</v>
      </c>
      <c r="EQ10" s="1" t="str">
        <f aca="false">"[""" &amp; EN10 &amp; """, """ &amp; IF(EO10="","",TEXT(EO10,"h:mm")) &amp; """, """ &amp; IF(EP10="","",TEXT(EP10,"h:mm")) &amp; """],"</f>
        <v>["別府", "9:33", "10:02"],</v>
      </c>
      <c r="ER10" s="18" t="n">
        <f aca="false">IF(AND(LEN(EO10)&lt;&gt;0,LEN(EP10)&lt;&gt;0),((HOUR(EP10)*60)+MINUTE(EP10))-((HOUR(EO10)*60)+MINUTE(EO10)),"")</f>
        <v>29</v>
      </c>
    </row>
    <row r="11" customFormat="false" ht="18" hidden="false" customHeight="false" outlineLevel="0" collapsed="false">
      <c r="D11" s="1" t="s">
        <v>33</v>
      </c>
      <c r="E11" s="18" t="str">
        <f aca="false">IF(AND(LEN(B11)&lt;&gt;0,LEN(C11)&lt;&gt;0),((HOUR(C11)*60)+MINUTE(C11))-((HOUR(B11)*60)+MINUTE(B11)),"")</f>
        <v/>
      </c>
      <c r="F11" s="23" t="s">
        <v>29</v>
      </c>
      <c r="G11" s="24" t="n">
        <v>0.715277777777778</v>
      </c>
      <c r="H11" s="25" t="n">
        <v>0.722222222222222</v>
      </c>
      <c r="I11" s="1" t="str">
        <f aca="false">"[""" &amp; F11 &amp; """, """ &amp; IF(G11="","",TEXT(G11,"h:mm")) &amp; """, """ &amp; IF(H11="","",TEXT(H11,"h:mm")) &amp; """],"</f>
        <v>["別府", "17:10", "17:20"],</v>
      </c>
      <c r="J11" s="18" t="n">
        <f aca="false">IF(AND(LEN(G11)&lt;&gt;0,LEN(H11)&lt;&gt;0),((HOUR(H11)*60)+MINUTE(H11))-((HOUR(G11)*60)+MINUTE(G11)),"")</f>
        <v>10</v>
      </c>
      <c r="N11" s="1" t="s">
        <v>33</v>
      </c>
      <c r="O11" s="18" t="str">
        <f aca="false">IF(AND(LEN(L11)&lt;&gt;0,LEN(M11)&lt;&gt;0),((HOUR(M11)*60)+MINUTE(M11))-((HOUR(L11)*60)+MINUTE(L11)),"")</f>
        <v/>
      </c>
      <c r="P11" s="23" t="s">
        <v>29</v>
      </c>
      <c r="Q11" s="24" t="n">
        <v>0.715277777777778</v>
      </c>
      <c r="R11" s="25" t="n">
        <v>0.722222222222222</v>
      </c>
      <c r="S11" s="1" t="str">
        <f aca="false">"[""" &amp; P11 &amp; """, """ &amp; IF(Q11="","",TEXT(Q11,"h:mm")) &amp; """, """ &amp; IF(R11="","",TEXT(R11,"h:mm")) &amp; """],"</f>
        <v>["別府", "17:10", "17:20"],</v>
      </c>
      <c r="T11" s="18" t="n">
        <f aca="false">IF(AND(LEN(Q11)&lt;&gt;0,LEN(R11)&lt;&gt;0),((HOUR(R11)*60)+MINUTE(R11))-((HOUR(Q11)*60)+MINUTE(Q11)),"")</f>
        <v>10</v>
      </c>
      <c r="Y11" s="18"/>
      <c r="AC11" s="1" t="s">
        <v>33</v>
      </c>
      <c r="AD11" s="18" t="str">
        <f aca="false">IF(AND(LEN(AA11)&lt;&gt;0,LEN(AB11)&lt;&gt;0),((HOUR(AB11)*60)+MINUTE(AB11))-((HOUR(AA11)*60)+MINUTE(AA11)),"")</f>
        <v/>
      </c>
      <c r="AE11" s="16" t="s">
        <v>28</v>
      </c>
      <c r="AF11" s="17" t="n">
        <v>0.770833333333333</v>
      </c>
      <c r="AG11" s="16"/>
      <c r="AH11" s="1" t="str">
        <f aca="false">"[""" &amp; AE11 &amp; """, """ &amp; IF(AF11="","",TEXT(AF11,"h:mm")) &amp; """, """ &amp; IF(AG11="","",TEXT(AG11,"h:mm")) &amp; """]"</f>
        <v>["西郷", "18:30", ""]</v>
      </c>
      <c r="AI11" s="18" t="str">
        <f aca="false">IF(AND(LEN(AF11)&lt;&gt;0,LEN(AG11)&lt;&gt;0),((HOUR(AG11)*60)+MINUTE(AG11))-((HOUR(AF11)*60)+MINUTE(AF11)),"")</f>
        <v/>
      </c>
      <c r="AN11" s="18"/>
      <c r="AO11" s="16" t="s">
        <v>29</v>
      </c>
      <c r="AP11" s="16" t="n">
        <v>0.666666666666667</v>
      </c>
      <c r="AQ11" s="17" t="n">
        <v>0.677083333333333</v>
      </c>
      <c r="AR11" s="1" t="str">
        <f aca="false">"[""" &amp; AO11 &amp; """, """ &amp; IF(AP11="","",TEXT(AP11,"h:mm")) &amp; """, """ &amp; IF(AQ11="","",TEXT(AQ11,"h:mm")) &amp; """],"</f>
        <v>["別府", "16:00", "16:15"],</v>
      </c>
      <c r="AS11" s="18" t="n">
        <f aca="false">IF(AND(LEN(AP11)&lt;&gt;0,LEN(AQ11)&lt;&gt;0),((HOUR(AQ11)*60)+MINUTE(AQ11))-((HOUR(AP11)*60)+MINUTE(AP11)),"")</f>
        <v>15</v>
      </c>
      <c r="AT11" s="16" t="s">
        <v>28</v>
      </c>
      <c r="AU11" s="17" t="n">
        <v>0.770833333333333</v>
      </c>
      <c r="AV11" s="16"/>
      <c r="AW11" s="1" t="str">
        <f aca="false">"[""" &amp; AT11 &amp; """, """ &amp; IF(AU11="","",TEXT(AU11,"h:mm")) &amp; """, """ &amp; IF(AV11="","",TEXT(AV11,"h:mm")) &amp; """]"</f>
        <v>["西郷", "18:30", ""]</v>
      </c>
      <c r="AX11" s="18" t="str">
        <f aca="false">IF(AND(LEN(AU11)&lt;&gt;0,LEN(AV11)&lt;&gt;0),((HOUR(AV11)*60)+MINUTE(AV11))-((HOUR(AU11)*60)+MINUTE(AU11)),"")</f>
        <v/>
      </c>
      <c r="AZ11" s="16" t="s">
        <v>29</v>
      </c>
      <c r="BA11" s="16" t="n">
        <v>0.765972222222222</v>
      </c>
      <c r="BB11" s="16"/>
      <c r="BC11" s="1" t="str">
        <f aca="false">"[""" &amp; AZ11 &amp; """, """ &amp; IF(BA11="","",TEXT(BA11,"h:mm")) &amp; """, """ &amp; IF(BB11="","",TEXT(BB11,"h:mm")) &amp; """]"</f>
        <v>["別府", "18:23", ""]</v>
      </c>
      <c r="BD11" s="18" t="str">
        <f aca="false">IF(AND(LEN(BA11)&lt;&gt;0,LEN(BB11)&lt;&gt;0),((HOUR(BB11)*60)+MINUTE(BB11))-((HOUR(BA11)*60)+MINUTE(BA11)),"")</f>
        <v/>
      </c>
      <c r="BE11" s="16" t="s">
        <v>29</v>
      </c>
      <c r="BF11" s="16" t="n">
        <v>0.784027777777778</v>
      </c>
      <c r="BG11" s="16"/>
      <c r="BH11" s="1" t="str">
        <f aca="false">"[""" &amp; BE11 &amp; """, """ &amp; IF(BF11="","",TEXT(BF11,"h:mm")) &amp; """, """ &amp; IF(BG11="","",TEXT(BG11,"h:mm")) &amp; """]"</f>
        <v>["別府", "18:49", ""]</v>
      </c>
      <c r="BI11" s="18" t="str">
        <f aca="false">IF(AND(LEN(BF11)&lt;&gt;0,LEN(BG11)&lt;&gt;0),((HOUR(BG11)*60)+MINUTE(BG11))-((HOUR(BF11)*60)+MINUTE(BF11)),"")</f>
        <v/>
      </c>
      <c r="BJ11" s="16" t="s">
        <v>27</v>
      </c>
      <c r="BK11" s="17" t="n">
        <v>0.633333333333333</v>
      </c>
      <c r="BL11" s="17" t="n">
        <v>0.701388888888889</v>
      </c>
      <c r="BM11" s="1" t="str">
        <f aca="false">"[""" &amp; BJ11 &amp; """, """ &amp; IF(BK11="","",TEXT(BK11,"h:mm")) &amp; """, """ &amp; IF(BL11="","",TEXT(BL11,"h:mm")) &amp; """],"</f>
        <v>["七類", "15:12", "16:50"],</v>
      </c>
      <c r="BN11" s="18" t="n">
        <f aca="false">IF(AND(LEN(BK11)&lt;&gt;0,LEN(BL11)&lt;&gt;0),((HOUR(BL11)*60)+MINUTE(BL11))-((HOUR(BK11)*60)+MINUTE(BK11)),"")</f>
        <v>98</v>
      </c>
      <c r="BO11" s="16" t="s">
        <v>29</v>
      </c>
      <c r="BP11" s="16" t="n">
        <v>0.738888888888889</v>
      </c>
      <c r="BQ11" s="16"/>
      <c r="BR11" s="1" t="str">
        <f aca="false">"[""" &amp; BO11 &amp; """, """ &amp; IF(BP11="","",TEXT(BP11,"h:mm")) &amp; """, """ &amp; IF(BQ11="","",TEXT(BQ11,"h:mm")) &amp; """]"</f>
        <v>["別府", "17:44", ""]</v>
      </c>
      <c r="BS11" s="18" t="str">
        <f aca="false">IF(AND(LEN(BP11)&lt;&gt;0,LEN(BQ11)&lt;&gt;0),((HOUR(BQ11)*60)+MINUTE(BQ11))-((HOUR(BP11)*60)+MINUTE(BP11)),"")</f>
        <v/>
      </c>
      <c r="BT11" s="16" t="s">
        <v>29</v>
      </c>
      <c r="BU11" s="16" t="n">
        <v>0.724305555555556</v>
      </c>
      <c r="BV11" s="16"/>
      <c r="BW11" s="1" t="str">
        <f aca="false">"[""" &amp; BT11 &amp; """, """ &amp; IF(BU11="","",TEXT(BU11,"h:mm")) &amp; """, """ &amp; IF(BV11="","",TEXT(BV11,"h:mm")) &amp; """]"</f>
        <v>["別府", "17:23", ""]</v>
      </c>
      <c r="BX11" s="18" t="str">
        <f aca="false">IF(AND(LEN(BU11)&lt;&gt;0,LEN(BV11)&lt;&gt;0),((HOUR(BV11)*60)+MINUTE(BV11))-((HOUR(BU11)*60)+MINUTE(BU11)),"")</f>
        <v/>
      </c>
      <c r="BZ11" s="19" t="s">
        <v>30</v>
      </c>
      <c r="CA11" s="19" t="n">
        <v>0.688888888888889</v>
      </c>
      <c r="CB11" s="19" t="n">
        <v>0.722222222222222</v>
      </c>
      <c r="CC11" s="1" t="str">
        <f aca="false">"[""" &amp; BZ11 &amp; """, """ &amp; IF(CA11="","",TEXT(CA11,"h:mm")) &amp; """, """ &amp; IF(CB11="","",TEXT(CB11,"h:mm")) &amp; """],"</f>
        <v>["菱浦", "16:32", "17:20"],</v>
      </c>
      <c r="CD11" s="18" t="n">
        <f aca="false">IF(AND(LEN(CA11)&lt;&gt;0,LEN(CB11)&lt;&gt;0),((HOUR(CB11)*60)+MINUTE(CB11))-((HOUR(CA11)*60)+MINUTE(CA11)),"")</f>
        <v>48</v>
      </c>
      <c r="CI11" s="18" t="str">
        <f aca="false">IF(AND(LEN(CF11)&lt;&gt;0,LEN(CG11)&lt;&gt;0),((HOUR(CG11)*60)+MINUTE(CG11))-((HOUR(CF11)*60)+MINUTE(CF11)),"")</f>
        <v/>
      </c>
      <c r="CJ11" s="21" t="s">
        <v>31</v>
      </c>
      <c r="CK11" s="22" t="n">
        <v>0.410416666666667</v>
      </c>
      <c r="CL11" s="22" t="n">
        <v>0.414583333333333</v>
      </c>
      <c r="CM11" s="1" t="str">
        <f aca="false">"[""" &amp; CJ11 &amp; """, """ &amp; IF(CK11="","",TEXT(CK11,"h:mm")) &amp; """, """ &amp; IF(CL11="","",TEXT(CL11,"h:mm")) &amp; """],"</f>
        <v>["来居", "9:51", "9:57"],</v>
      </c>
      <c r="CN11" s="18" t="n">
        <f aca="false">IF(AND(LEN(CK11)&lt;&gt;0,LEN(CL11)&lt;&gt;0),((HOUR(CL11)*60)+MINUTE(CL11))-((HOUR(CK11)*60)+MINUTE(CK11)),"")</f>
        <v>6</v>
      </c>
      <c r="CO11" s="21" t="s">
        <v>31</v>
      </c>
      <c r="CP11" s="22" t="n">
        <v>0.410416666666667</v>
      </c>
      <c r="CQ11" s="22" t="n">
        <v>0.414583333333333</v>
      </c>
      <c r="CR11" s="1" t="str">
        <f aca="false">"[""" &amp; CO11 &amp; """, """ &amp; IF(CP11="","",TEXT(CP11,"h:mm")) &amp; """, """ &amp; IF(CQ11="","",TEXT(CQ11,"h:mm")) &amp; """],"</f>
        <v>["来居", "9:51", "9:57"],</v>
      </c>
      <c r="CS11" s="18" t="n">
        <f aca="false">IF(AND(LEN(CP11)&lt;&gt;0,LEN(CQ11)&lt;&gt;0),((HOUR(CQ11)*60)+MINUTE(CQ11))-((HOUR(CP11)*60)+MINUTE(CP11)),"")</f>
        <v>6</v>
      </c>
      <c r="CU11" s="19" t="s">
        <v>30</v>
      </c>
      <c r="CV11" s="19" t="n">
        <v>0.505555555555556</v>
      </c>
      <c r="CW11" s="19" t="n">
        <v>0.506944444444444</v>
      </c>
      <c r="CX11" s="1" t="str">
        <f aca="false">"[""" &amp; CU11 &amp; """, """ &amp; IF(CV11="","",TEXT(CV11,"h:mm")) &amp; """, """ &amp; IF(CW11="","",TEXT(CW11,"h:mm")) &amp; """],"</f>
        <v>["菱浦", "12:08", "12:10"],</v>
      </c>
      <c r="CY11" s="18" t="n">
        <f aca="false">IF(AND(LEN(CV11)&lt;&gt;0,LEN(CW11)&lt;&gt;0),((HOUR(CW11)*60)+MINUTE(CW11))-((HOUR(CV11)*60)+MINUTE(CV11)),"")</f>
        <v>2</v>
      </c>
      <c r="CZ11" s="21" t="s">
        <v>31</v>
      </c>
      <c r="DA11" s="22" t="n">
        <v>0.369444444444444</v>
      </c>
      <c r="DB11" s="22" t="n">
        <v>0.373611111111111</v>
      </c>
      <c r="DC11" s="1" t="str">
        <f aca="false">"[""" &amp; CZ11 &amp; """, """ &amp; IF(DA11="","",TEXT(DA11,"h:mm")) &amp; """, """ &amp; IF(DB11="","",TEXT(DB11,"h:mm")) &amp; """],"</f>
        <v>["来居", "8:52", "8:58"],</v>
      </c>
      <c r="DD11" s="18" t="n">
        <f aca="false">IF(AND(LEN(DA11)&lt;&gt;0,LEN(DB11)&lt;&gt;0),((HOUR(DB11)*60)+MINUTE(DB11))-((HOUR(DA11)*60)+MINUTE(DA11)),"")</f>
        <v>6</v>
      </c>
      <c r="DE11" s="21" t="s">
        <v>31</v>
      </c>
      <c r="DF11" s="22" t="n">
        <v>0.369444444444444</v>
      </c>
      <c r="DG11" s="22" t="n">
        <v>0.373611111111111</v>
      </c>
      <c r="DH11" s="1" t="str">
        <f aca="false">"[""" &amp; DE11 &amp; """, """ &amp; IF(DF11="","",TEXT(DF11,"h:mm")) &amp; """, """ &amp; IF(DG11="","",TEXT(DG11,"h:mm")) &amp; """],"</f>
        <v>["来居", "8:52", "8:58"],</v>
      </c>
      <c r="DI11" s="18" t="n">
        <f aca="false">IF(AND(LEN(DF11)&lt;&gt;0,LEN(DG11)&lt;&gt;0),((HOUR(DG11)*60)+MINUTE(DG11))-((HOUR(DF11)*60)+MINUTE(DF11)),"")</f>
        <v>6</v>
      </c>
      <c r="DJ11" s="21" t="s">
        <v>31</v>
      </c>
      <c r="DK11" s="22" t="n">
        <v>0.369444444444444</v>
      </c>
      <c r="DL11" s="22" t="n">
        <v>0.373611111111111</v>
      </c>
      <c r="DM11" s="1" t="str">
        <f aca="false">"[""" &amp; DJ11 &amp; """, """ &amp; IF(DK11="","",TEXT(DK11,"h:mm")) &amp; """, """ &amp; IF(DL11="","",TEXT(DL11,"h:mm")) &amp; """],"</f>
        <v>["来居", "8:52", "8:58"],</v>
      </c>
      <c r="DN11" s="18" t="n">
        <f aca="false">IF(AND(LEN(DK11)&lt;&gt;0,LEN(DL11)&lt;&gt;0),((HOUR(DL11)*60)+MINUTE(DL11))-((HOUR(DK11)*60)+MINUTE(DK11)),"")</f>
        <v>6</v>
      </c>
      <c r="DO11" s="21" t="s">
        <v>31</v>
      </c>
      <c r="DP11" s="22" t="n">
        <v>0.369444444444444</v>
      </c>
      <c r="DQ11" s="22" t="n">
        <v>0.373611111111111</v>
      </c>
      <c r="DR11" s="1" t="str">
        <f aca="false">"[""" &amp; DO11 &amp; """, """ &amp; IF(DP11="","",TEXT(DP11,"h:mm")) &amp; """, """ &amp; IF(DQ11="","",TEXT(DQ11,"h:mm")) &amp; """],"</f>
        <v>["来居", "8:52", "8:58"],</v>
      </c>
      <c r="DS11" s="18" t="n">
        <f aca="false">IF(AND(LEN(DP11)&lt;&gt;0,LEN(DQ11)&lt;&gt;0),((HOUR(DQ11)*60)+MINUTE(DQ11))-((HOUR(DP11)*60)+MINUTE(DP11)),"")</f>
        <v>6</v>
      </c>
      <c r="DT11" s="20" t="s">
        <v>29</v>
      </c>
      <c r="DU11" s="20" t="n">
        <v>0.545138888888889</v>
      </c>
      <c r="DV11" s="20" t="n">
        <v>0.552083333333333</v>
      </c>
      <c r="DW11" s="1" t="str">
        <f aca="false">"[""" &amp; DT11 &amp; """, """ &amp; IF(DU11="","",TEXT(DU11,"h:mm")) &amp; """, """ &amp; IF(DV11="","",TEXT(DV11,"h:mm")) &amp; """],"</f>
        <v>["別府", "13:05", "13:15"],</v>
      </c>
      <c r="DX11" s="18" t="n">
        <f aca="false">IF(AND(LEN(DU11)&lt;&gt;0,LEN(DV11)&lt;&gt;0),((HOUR(DV11)*60)+MINUTE(DV11))-((HOUR(DU11)*60)+MINUTE(DU11)),"")</f>
        <v>10</v>
      </c>
      <c r="DY11" s="19" t="s">
        <v>30</v>
      </c>
      <c r="DZ11" s="19" t="n">
        <v>0.422916666666667</v>
      </c>
      <c r="EA11" s="19" t="n">
        <v>0.452083333333333</v>
      </c>
      <c r="EB11" s="1" t="str">
        <f aca="false">"[""" &amp; DY11 &amp; """, """ &amp; IF(DZ11="","",TEXT(DZ11,"h:mm")) &amp; """, """ &amp; IF(EA11="","",TEXT(EA11,"h:mm")) &amp; """],"</f>
        <v>["菱浦", "10:09", "10:51"],</v>
      </c>
      <c r="EC11" s="18" t="n">
        <f aca="false">IF(AND(LEN(DZ11)&lt;&gt;0,LEN(EA11)&lt;&gt;0),((HOUR(EA11)*60)+MINUTE(EA11))-((HOUR(DZ11)*60)+MINUTE(DZ11)),"")</f>
        <v>42</v>
      </c>
      <c r="ED11" s="19" t="s">
        <v>30</v>
      </c>
      <c r="EE11" s="19" t="n">
        <v>0.422916666666667</v>
      </c>
      <c r="EF11" s="19" t="n">
        <v>0.452083333333333</v>
      </c>
      <c r="EG11" s="1" t="str">
        <f aca="false">"[""" &amp; ED11 &amp; """, """ &amp; IF(EE11="","",TEXT(EE11,"h:mm")) &amp; """, """ &amp; IF(EF11="","",TEXT(EF11,"h:mm")) &amp; """],"</f>
        <v>["菱浦", "10:09", "10:51"],</v>
      </c>
      <c r="EH11" s="18" t="n">
        <f aca="false">IF(AND(LEN(EE11)&lt;&gt;0,LEN(EF11)&lt;&gt;0),((HOUR(EF11)*60)+MINUTE(EF11))-((HOUR(EE11)*60)+MINUTE(EE11)),"")</f>
        <v>42</v>
      </c>
      <c r="EI11" s="19" t="s">
        <v>30</v>
      </c>
      <c r="EJ11" s="19" t="n">
        <v>0.422916666666667</v>
      </c>
      <c r="EK11" s="19" t="n">
        <v>0.452083333333333</v>
      </c>
      <c r="EL11" s="1" t="str">
        <f aca="false">"[""" &amp; EI11 &amp; """, """ &amp; IF(EJ11="","",TEXT(EJ11,"h:mm")) &amp; """, """ &amp; IF(EK11="","",TEXT(EK11,"h:mm")) &amp; """],"</f>
        <v>["菱浦", "10:09", "10:51"],</v>
      </c>
      <c r="EM11" s="18" t="n">
        <f aca="false">IF(AND(LEN(EJ11)&lt;&gt;0,LEN(EK11)&lt;&gt;0),((HOUR(EK11)*60)+MINUTE(EK11))-((HOUR(EJ11)*60)+MINUTE(EJ11)),"")</f>
        <v>42</v>
      </c>
      <c r="EN11" s="19" t="s">
        <v>30</v>
      </c>
      <c r="EO11" s="19" t="n">
        <v>0.422916666666667</v>
      </c>
      <c r="EP11" s="19" t="n">
        <v>0.452083333333333</v>
      </c>
      <c r="EQ11" s="1" t="str">
        <f aca="false">"[""" &amp; EN11 &amp; """, """ &amp; IF(EO11="","",TEXT(EO11,"h:mm")) &amp; """, """ &amp; IF(EP11="","",TEXT(EP11,"h:mm")) &amp; """],"</f>
        <v>["菱浦", "10:09", "10:51"],</v>
      </c>
      <c r="ER11" s="18" t="n">
        <f aca="false">IF(AND(LEN(EO11)&lt;&gt;0,LEN(EP11)&lt;&gt;0),((HOUR(EP11)*60)+MINUTE(EP11))-((HOUR(EO11)*60)+MINUTE(EO11)),"")</f>
        <v>42</v>
      </c>
    </row>
    <row r="12" customFormat="false" ht="18" hidden="false" customHeight="false" outlineLevel="0" collapsed="false">
      <c r="E12" s="18"/>
      <c r="F12" s="23" t="s">
        <v>28</v>
      </c>
      <c r="G12" s="25" t="n">
        <v>0.774305555555556</v>
      </c>
      <c r="H12" s="23"/>
      <c r="I12" s="1" t="str">
        <f aca="false">"[""" &amp; F12 &amp; """, """ &amp; IF(G12="","",TEXT(G12,"h:mm")) &amp; """, """ &amp; IF(H12="","",TEXT(H12,"h:mm")) &amp; """]"</f>
        <v>["西郷", "18:35", ""]</v>
      </c>
      <c r="J12" s="18" t="str">
        <f aca="false">IF(AND(LEN(G12)&lt;&gt;0,LEN(H12)&lt;&gt;0),((HOUR(H12)*60)+MINUTE(H12))-((HOUR(G12)*60)+MINUTE(G12)),"")</f>
        <v/>
      </c>
      <c r="O12" s="18"/>
      <c r="P12" s="23" t="s">
        <v>28</v>
      </c>
      <c r="Q12" s="25" t="n">
        <v>0.774305555555556</v>
      </c>
      <c r="R12" s="23"/>
      <c r="S12" s="1" t="str">
        <f aca="false">"[""" &amp; P12 &amp; """, """ &amp; IF(Q12="","",TEXT(Q12,"h:mm")) &amp; """, """ &amp; IF(R12="","",TEXT(R12,"h:mm")) &amp; """]"</f>
        <v>["西郷", "18:35", ""]</v>
      </c>
      <c r="T12" s="18" t="str">
        <f aca="false">IF(AND(LEN(Q12)&lt;&gt;0,LEN(R12)&lt;&gt;0),((HOUR(R12)*60)+MINUTE(R12))-((HOUR(Q12)*60)+MINUTE(Q12)),"")</f>
        <v/>
      </c>
      <c r="Y12" s="18"/>
      <c r="AD12" s="18"/>
      <c r="AH12" s="1" t="s">
        <v>33</v>
      </c>
      <c r="AI12" s="18" t="str">
        <f aca="false">IF(AND(LEN(AF12)&lt;&gt;0,LEN(AG12)&lt;&gt;0),((HOUR(AG12)*60)+MINUTE(AG12))-((HOUR(AF12)*60)+MINUTE(AF12)),"")</f>
        <v/>
      </c>
      <c r="AN12" s="18"/>
      <c r="AO12" s="16" t="s">
        <v>27</v>
      </c>
      <c r="AP12" s="17" t="n">
        <v>0.767361111111111</v>
      </c>
      <c r="AQ12" s="16"/>
      <c r="AR12" s="1" t="str">
        <f aca="false">"[""" &amp; AO12 &amp; """, """ &amp; IF(AP12="","",TEXT(AP12,"h:mm")) &amp; """, """ &amp; IF(AQ12="","",TEXT(AQ12,"h:mm")) &amp; """]"</f>
        <v>["七類", "18:25", ""]</v>
      </c>
      <c r="AS12" s="18" t="str">
        <f aca="false">IF(AND(LEN(AP12)&lt;&gt;0,LEN(AQ12)&lt;&gt;0),((HOUR(AQ12)*60)+MINUTE(AQ12))-((HOUR(AP12)*60)+MINUTE(AP12)),"")</f>
        <v/>
      </c>
      <c r="AW12" s="1" t="s">
        <v>33</v>
      </c>
      <c r="AX12" s="18" t="str">
        <f aca="false">IF(AND(LEN(AU12)&lt;&gt;0,LEN(AV12)&lt;&gt;0),((HOUR(AV12)*60)+MINUTE(AV12))-((HOUR(AU12)*60)+MINUTE(AU12)),"")</f>
        <v/>
      </c>
      <c r="BC12" s="1" t="s">
        <v>33</v>
      </c>
      <c r="BD12" s="18" t="str">
        <f aca="false">IF(AND(LEN(BA12)&lt;&gt;0,LEN(BB12)&lt;&gt;0),((HOUR(BB12)*60)+MINUTE(BB12))-((HOUR(BA12)*60)+MINUTE(BA12)),"")</f>
        <v/>
      </c>
      <c r="BH12" s="1" t="s">
        <v>33</v>
      </c>
      <c r="BI12" s="18" t="str">
        <f aca="false">IF(AND(LEN(BF12)&lt;&gt;0,LEN(BG12)&lt;&gt;0),((HOUR(BG12)*60)+MINUTE(BG12))-((HOUR(BF12)*60)+MINUTE(BF12)),"")</f>
        <v/>
      </c>
      <c r="BJ12" s="16" t="s">
        <v>28</v>
      </c>
      <c r="BK12" s="17" t="n">
        <v>0.749305555555556</v>
      </c>
      <c r="BL12" s="17" t="n">
        <v>0.753472222222222</v>
      </c>
      <c r="BM12" s="1" t="str">
        <f aca="false">"[""" &amp; BJ12 &amp; """, """ &amp; IF(BK12="","",TEXT(BK12,"h:mm")) &amp; """, """ &amp; IF(BL12="","",TEXT(BL12,"h:mm")) &amp; """],"</f>
        <v>["西郷", "17:59", "18:05"],</v>
      </c>
      <c r="BN12" s="18" t="n">
        <f aca="false">IF(AND(LEN(BK12)&lt;&gt;0,LEN(BL12)&lt;&gt;0),((HOUR(BL12)*60)+MINUTE(BL12))-((HOUR(BK12)*60)+MINUTE(BK12)),"")</f>
        <v>6</v>
      </c>
      <c r="BR12" s="1" t="s">
        <v>33</v>
      </c>
      <c r="BS12" s="18" t="str">
        <f aca="false">IF(AND(LEN(BP12)&lt;&gt;0,LEN(BQ12)&lt;&gt;0),((HOUR(BQ12)*60)+MINUTE(BQ12))-((HOUR(BP12)*60)+MINUTE(BP12)),"")</f>
        <v/>
      </c>
      <c r="BW12" s="1" t="s">
        <v>33</v>
      </c>
      <c r="BX12" s="18" t="str">
        <f aca="false">IF(AND(LEN(BU12)&lt;&gt;0,LEN(BV12)&lt;&gt;0),((HOUR(BV12)*60)+MINUTE(BV12))-((HOUR(BU12)*60)+MINUTE(BU12)),"")</f>
        <v/>
      </c>
      <c r="BZ12" s="20" t="s">
        <v>29</v>
      </c>
      <c r="CA12" s="20" t="n">
        <v>0.732638888888889</v>
      </c>
      <c r="CB12" s="20" t="n">
        <v>0.736111111111111</v>
      </c>
      <c r="CC12" s="1" t="str">
        <f aca="false">"[""" &amp; BZ12 &amp; """, """ &amp; IF(CA12="","",TEXT(CA12,"h:mm")) &amp; """, """ &amp; IF(CB12="","",TEXT(CB12,"h:mm")) &amp; """],"</f>
        <v>["別府", "17:35", "17:40"],</v>
      </c>
      <c r="CD12" s="18" t="n">
        <f aca="false">IF(AND(LEN(CA12)&lt;&gt;0,LEN(CB12)&lt;&gt;0),((HOUR(CB12)*60)+MINUTE(CB12))-((HOUR(CA12)*60)+MINUTE(CA12)),"")</f>
        <v>5</v>
      </c>
      <c r="CI12" s="18" t="str">
        <f aca="false">IF(AND(LEN(CF12)&lt;&gt;0,LEN(CG12)&lt;&gt;0),((HOUR(CG12)*60)+MINUTE(CG12))-((HOUR(CF12)*60)+MINUTE(CF12)),"")</f>
        <v/>
      </c>
      <c r="CJ12" s="20" t="s">
        <v>29</v>
      </c>
      <c r="CK12" s="20" t="n">
        <v>0.440972222222222</v>
      </c>
      <c r="CL12" s="20" t="n">
        <v>0.445833333333333</v>
      </c>
      <c r="CM12" s="1" t="str">
        <f aca="false">"[""" &amp; CJ12 &amp; """, """ &amp; IF(CK12="","",TEXT(CK12,"h:mm")) &amp; """, """ &amp; IF(CL12="","",TEXT(CL12,"h:mm")) &amp; """],"</f>
        <v>["別府", "10:35", "10:42"],</v>
      </c>
      <c r="CN12" s="18" t="n">
        <f aca="false">IF(AND(LEN(CK12)&lt;&gt;0,LEN(CL12)&lt;&gt;0),((HOUR(CL12)*60)+MINUTE(CL12))-((HOUR(CK12)*60)+MINUTE(CK12)),"")</f>
        <v>7</v>
      </c>
      <c r="CO12" s="20" t="s">
        <v>29</v>
      </c>
      <c r="CP12" s="20" t="n">
        <v>0.440972222222222</v>
      </c>
      <c r="CQ12" s="20" t="n">
        <v>0.445833333333333</v>
      </c>
      <c r="CR12" s="1" t="str">
        <f aca="false">"[""" &amp; CO12 &amp; """, """ &amp; IF(CP12="","",TEXT(CP12,"h:mm")) &amp; """, """ &amp; IF(CQ12="","",TEXT(CQ12,"h:mm")) &amp; """],"</f>
        <v>["別府", "10:35", "10:42"],</v>
      </c>
      <c r="CS12" s="18" t="n">
        <f aca="false">IF(AND(LEN(CP12)&lt;&gt;0,LEN(CQ12)&lt;&gt;0),((HOUR(CQ12)*60)+MINUTE(CQ12))-((HOUR(CP12)*60)+MINUTE(CP12)),"")</f>
        <v>7</v>
      </c>
      <c r="CU12" s="21" t="s">
        <v>31</v>
      </c>
      <c r="CV12" s="22" t="n">
        <v>0.520833333333333</v>
      </c>
      <c r="CW12" s="22" t="n">
        <v>0.524305555555556</v>
      </c>
      <c r="CX12" s="1" t="str">
        <f aca="false">"[""" &amp; CU12 &amp; """, """ &amp; IF(CV12="","",TEXT(CV12,"h:mm")) &amp; """, """ &amp; IF(CW12="","",TEXT(CW12,"h:mm")) &amp; """],"</f>
        <v>["来居", "12:30", "12:35"],</v>
      </c>
      <c r="CY12" s="18" t="n">
        <f aca="false">IF(AND(LEN(CV12)&lt;&gt;0,LEN(CW12)&lt;&gt;0),((HOUR(CW12)*60)+MINUTE(CW12))-((HOUR(CV12)*60)+MINUTE(CV12)),"")</f>
        <v>5</v>
      </c>
      <c r="CZ12" s="20" t="s">
        <v>29</v>
      </c>
      <c r="DA12" s="20" t="n">
        <v>0.385416666666667</v>
      </c>
      <c r="DB12" s="20" t="n">
        <v>0.386805555555556</v>
      </c>
      <c r="DC12" s="1" t="str">
        <f aca="false">"[""" &amp; CZ12 &amp; """, """ &amp; IF(DA12="","",TEXT(DA12,"h:mm")) &amp; """, """ &amp; IF(DB12="","",TEXT(DB12,"h:mm")) &amp; """],"</f>
        <v>["別府", "9:15", "9:17"],</v>
      </c>
      <c r="DD12" s="18" t="n">
        <f aca="false">IF(AND(LEN(DA12)&lt;&gt;0,LEN(DB12)&lt;&gt;0),((HOUR(DB12)*60)+MINUTE(DB12))-((HOUR(DA12)*60)+MINUTE(DA12)),"")</f>
        <v>2</v>
      </c>
      <c r="DE12" s="20" t="s">
        <v>29</v>
      </c>
      <c r="DF12" s="20" t="n">
        <v>0.385416666666667</v>
      </c>
      <c r="DG12" s="20" t="n">
        <v>0.386805555555556</v>
      </c>
      <c r="DH12" s="1" t="str">
        <f aca="false">"[""" &amp; DE12 &amp; """, """ &amp; IF(DF12="","",TEXT(DF12,"h:mm")) &amp; """, """ &amp; IF(DG12="","",TEXT(DG12,"h:mm")) &amp; """],"</f>
        <v>["別府", "9:15", "9:17"],</v>
      </c>
      <c r="DI12" s="18" t="n">
        <f aca="false">IF(AND(LEN(DF12)&lt;&gt;0,LEN(DG12)&lt;&gt;0),((HOUR(DG12)*60)+MINUTE(DG12))-((HOUR(DF12)*60)+MINUTE(DF12)),"")</f>
        <v>2</v>
      </c>
      <c r="DJ12" s="20" t="s">
        <v>29</v>
      </c>
      <c r="DK12" s="20" t="n">
        <v>0.385416666666667</v>
      </c>
      <c r="DL12" s="20" t="n">
        <v>0.386805555555556</v>
      </c>
      <c r="DM12" s="1" t="str">
        <f aca="false">"[""" &amp; DJ12 &amp; """, """ &amp; IF(DK12="","",TEXT(DK12,"h:mm")) &amp; """, """ &amp; IF(DL12="","",TEXT(DL12,"h:mm")) &amp; """],"</f>
        <v>["別府", "9:15", "9:17"],</v>
      </c>
      <c r="DN12" s="18" t="n">
        <f aca="false">IF(AND(LEN(DK12)&lt;&gt;0,LEN(DL12)&lt;&gt;0),((HOUR(DL12)*60)+MINUTE(DL12))-((HOUR(DK12)*60)+MINUTE(DK12)),"")</f>
        <v>2</v>
      </c>
      <c r="DO12" s="20" t="s">
        <v>29</v>
      </c>
      <c r="DP12" s="20" t="n">
        <v>0.385416666666667</v>
      </c>
      <c r="DQ12" s="20" t="n">
        <v>0.386805555555556</v>
      </c>
      <c r="DR12" s="1" t="str">
        <f aca="false">"[""" &amp; DO12 &amp; """, """ &amp; IF(DP12="","",TEXT(DP12,"h:mm")) &amp; """, """ &amp; IF(DQ12="","",TEXT(DQ12,"h:mm")) &amp; """],"</f>
        <v>["別府", "9:15", "9:17"],</v>
      </c>
      <c r="DS12" s="18" t="n">
        <f aca="false">IF(AND(LEN(DP12)&lt;&gt;0,LEN(DQ12)&lt;&gt;0),((HOUR(DQ12)*60)+MINUTE(DQ12))-((HOUR(DP12)*60)+MINUTE(DP12)),"")</f>
        <v>2</v>
      </c>
      <c r="DT12" s="19" t="s">
        <v>30</v>
      </c>
      <c r="DU12" s="19" t="n">
        <v>0.557638888888889</v>
      </c>
      <c r="DV12" s="19" t="n">
        <v>0.559027777777778</v>
      </c>
      <c r="DW12" s="1" t="str">
        <f aca="false">"[""" &amp; DT12 &amp; """, """ &amp; IF(DU12="","",TEXT(DU12,"h:mm")) &amp; """, """ &amp; IF(DV12="","",TEXT(DV12,"h:mm")) &amp; """],"</f>
        <v>["菱浦", "13:23", "13:25"],</v>
      </c>
      <c r="DX12" s="18" t="n">
        <f aca="false">IF(AND(LEN(DU12)&lt;&gt;0,LEN(DV12)&lt;&gt;0),((HOUR(DV12)*60)+MINUTE(DV12))-((HOUR(DU12)*60)+MINUTE(DU12)),"")</f>
        <v>2</v>
      </c>
      <c r="DY12" s="20" t="s">
        <v>29</v>
      </c>
      <c r="DZ12" s="20" t="n">
        <v>0.456944444444444</v>
      </c>
      <c r="EA12" s="20" t="n">
        <v>0.506944444444444</v>
      </c>
      <c r="EB12" s="1" t="str">
        <f aca="false">"[""" &amp; DY12 &amp; """, """ &amp; IF(DZ12="","",TEXT(DZ12,"h:mm")) &amp; """, """ &amp; IF(EA12="","",TEXT(EA12,"h:mm")) &amp; """],"</f>
        <v>["別府", "10:58", "12:10"],</v>
      </c>
      <c r="EC12" s="18" t="n">
        <f aca="false">IF(AND(LEN(DZ12)&lt;&gt;0,LEN(EA12)&lt;&gt;0),((HOUR(EA12)*60)+MINUTE(EA12))-((HOUR(DZ12)*60)+MINUTE(DZ12)),"")</f>
        <v>72</v>
      </c>
      <c r="ED12" s="20" t="s">
        <v>29</v>
      </c>
      <c r="EE12" s="20" t="n">
        <v>0.456944444444444</v>
      </c>
      <c r="EF12" s="20" t="n">
        <v>0.506944444444444</v>
      </c>
      <c r="EG12" s="1" t="str">
        <f aca="false">"[""" &amp; ED12 &amp; """, """ &amp; IF(EE12="","",TEXT(EE12,"h:mm")) &amp; """, """ &amp; IF(EF12="","",TEXT(EF12,"h:mm")) &amp; """],"</f>
        <v>["別府", "10:58", "12:10"],</v>
      </c>
      <c r="EH12" s="18" t="n">
        <f aca="false">IF(AND(LEN(EE12)&lt;&gt;0,LEN(EF12)&lt;&gt;0),((HOUR(EF12)*60)+MINUTE(EF12))-((HOUR(EE12)*60)+MINUTE(EE12)),"")</f>
        <v>72</v>
      </c>
      <c r="EI12" s="20" t="s">
        <v>29</v>
      </c>
      <c r="EJ12" s="20" t="n">
        <v>0.456944444444444</v>
      </c>
      <c r="EK12" s="20" t="n">
        <v>0.506944444444444</v>
      </c>
      <c r="EL12" s="1" t="str">
        <f aca="false">"[""" &amp; EI12 &amp; """, """ &amp; IF(EJ12="","",TEXT(EJ12,"h:mm")) &amp; """, """ &amp; IF(EK12="","",TEXT(EK12,"h:mm")) &amp; """],"</f>
        <v>["別府", "10:58", "12:10"],</v>
      </c>
      <c r="EM12" s="18" t="n">
        <f aca="false">IF(AND(LEN(EJ12)&lt;&gt;0,LEN(EK12)&lt;&gt;0),((HOUR(EK12)*60)+MINUTE(EK12))-((HOUR(EJ12)*60)+MINUTE(EJ12)),"")</f>
        <v>72</v>
      </c>
      <c r="EN12" s="20" t="s">
        <v>29</v>
      </c>
      <c r="EO12" s="20" t="n">
        <v>0.456944444444444</v>
      </c>
      <c r="EP12" s="20" t="n">
        <v>0.506944444444444</v>
      </c>
      <c r="EQ12" s="1" t="str">
        <f aca="false">"[""" &amp; EN12 &amp; """, """ &amp; IF(EO12="","",TEXT(EO12,"h:mm")) &amp; """, """ &amp; IF(EP12="","",TEXT(EP12,"h:mm")) &amp; """],"</f>
        <v>["別府", "10:58", "12:10"],</v>
      </c>
      <c r="ER12" s="18" t="n">
        <f aca="false">IF(AND(LEN(EO12)&lt;&gt;0,LEN(EP12)&lt;&gt;0),((HOUR(EP12)*60)+MINUTE(EP12))-((HOUR(EO12)*60)+MINUTE(EO12)),"")</f>
        <v>72</v>
      </c>
    </row>
    <row r="13" customFormat="false" ht="18" hidden="false" customHeight="false" outlineLevel="0" collapsed="false">
      <c r="E13" s="18"/>
      <c r="I13" s="1" t="s">
        <v>33</v>
      </c>
      <c r="J13" s="18" t="str">
        <f aca="false">IF(AND(LEN(G13)&lt;&gt;0,LEN(H13)&lt;&gt;0),((HOUR(H13)*60)+MINUTE(H13))-((HOUR(G13)*60)+MINUTE(G13)),"")</f>
        <v/>
      </c>
      <c r="O13" s="18"/>
      <c r="S13" s="1" t="s">
        <v>33</v>
      </c>
      <c r="T13" s="18" t="str">
        <f aca="false">IF(AND(LEN(Q13)&lt;&gt;0,LEN(R13)&lt;&gt;0),((HOUR(R13)*60)+MINUTE(R13))-((HOUR(Q13)*60)+MINUTE(Q13)),"")</f>
        <v/>
      </c>
      <c r="Y13" s="18"/>
      <c r="AD13" s="18"/>
      <c r="AI13" s="18"/>
      <c r="AN13" s="18"/>
      <c r="AR13" s="1" t="s">
        <v>33</v>
      </c>
      <c r="AS13" s="18" t="str">
        <f aca="false">IF(AND(LEN(AP13)&lt;&gt;0,LEN(AQ13)&lt;&gt;0),((HOUR(AQ13)*60)+MINUTE(AQ13))-((HOUR(AP13)*60)+MINUTE(AP13)),"")</f>
        <v/>
      </c>
      <c r="AX13" s="18" t="str">
        <f aca="false">IF(AND(LEN(AU13)&lt;&gt;0,LEN(AV13)&lt;&gt;0),((HOUR(AV13)*60)+MINUTE(AV13))-((HOUR(AU13)*60)+MINUTE(AU13)),"")</f>
        <v/>
      </c>
      <c r="BD13" s="18" t="str">
        <f aca="false">IF(AND(LEN(BA13)&lt;&gt;0,LEN(BB13)&lt;&gt;0),((HOUR(BB13)*60)+MINUTE(BB13))-((HOUR(BA13)*60)+MINUTE(BA13)),"")</f>
        <v/>
      </c>
      <c r="BI13" s="18" t="str">
        <f aca="false">IF(AND(LEN(BF13)&lt;&gt;0,LEN(BG13)&lt;&gt;0),((HOUR(BG13)*60)+MINUTE(BG13))-((HOUR(BF13)*60)+MINUTE(BF13)),"")</f>
        <v/>
      </c>
      <c r="BJ13" s="16" t="s">
        <v>30</v>
      </c>
      <c r="BK13" s="17" t="n">
        <v>0.775</v>
      </c>
      <c r="BL13" s="16" t="n">
        <v>0.777083333333333</v>
      </c>
      <c r="BM13" s="1" t="str">
        <f aca="false">"[""" &amp; BJ13 &amp; """, """ &amp; IF(BK13="","",TEXT(BK13,"h:mm")) &amp; """, """ &amp; IF(BL13="","",TEXT(BL13,"h:mm")) &amp; """],"</f>
        <v>["菱浦", "18:36", "18:39"],</v>
      </c>
      <c r="BN13" s="18" t="n">
        <f aca="false">IF(AND(LEN(BK13)&lt;&gt;0,LEN(BL13)&lt;&gt;0),((HOUR(BL13)*60)+MINUTE(BL13))-((HOUR(BK13)*60)+MINUTE(BK13)),"")</f>
        <v>3</v>
      </c>
      <c r="BS13" s="18" t="str">
        <f aca="false">IF(AND(LEN(BP13)&lt;&gt;0,LEN(BQ13)&lt;&gt;0),((HOUR(BQ13)*60)+MINUTE(BQ13))-((HOUR(BP13)*60)+MINUTE(BP13)),"")</f>
        <v/>
      </c>
      <c r="BX13" s="18" t="str">
        <f aca="false">IF(AND(LEN(BU13)&lt;&gt;0,LEN(BV13)&lt;&gt;0),((HOUR(BV13)*60)+MINUTE(BV13))-((HOUR(BU13)*60)+MINUTE(BU13)),"")</f>
        <v/>
      </c>
      <c r="BZ13" s="19" t="s">
        <v>30</v>
      </c>
      <c r="CA13" s="19" t="n">
        <v>0.744444444444445</v>
      </c>
      <c r="CC13" s="1" t="str">
        <f aca="false">"[""" &amp; BZ13 &amp; """, """ &amp; IF(CA13="","",TEXT(CA13,"h:mm")) &amp; """, """ &amp; IF(CB13="","",TEXT(CB13,"h:mm")) &amp; """]"</f>
        <v>["菱浦", "17:52", ""]</v>
      </c>
      <c r="CD13" s="18" t="str">
        <f aca="false">IF(AND(LEN(CA13)&lt;&gt;0,LEN(CB13)&lt;&gt;0),((HOUR(CB13)*60)+MINUTE(CB13))-((HOUR(CA13)*60)+MINUTE(CA13)),"")</f>
        <v/>
      </c>
      <c r="CI13" s="18" t="str">
        <f aca="false">IF(AND(LEN(CF13)&lt;&gt;0,LEN(CG13)&lt;&gt;0),((HOUR(CG13)*60)+MINUTE(CG13))-((HOUR(CF13)*60)+MINUTE(CF13)),"")</f>
        <v/>
      </c>
      <c r="CJ13" s="19" t="s">
        <v>30</v>
      </c>
      <c r="CK13" s="19" t="n">
        <v>0.454166666666667</v>
      </c>
      <c r="CL13" s="19" t="n">
        <v>0.510416666666667</v>
      </c>
      <c r="CM13" s="1" t="str">
        <f aca="false">"[""" &amp; CJ13 &amp; """, """ &amp; IF(CK13="","",TEXT(CK13,"h:mm")) &amp; """, """ &amp; IF(CL13="","",TEXT(CL13,"h:mm")) &amp; """],"</f>
        <v>["菱浦", "10:54", "12:15"],</v>
      </c>
      <c r="CN13" s="18" t="n">
        <f aca="false">IF(AND(LEN(CK13)&lt;&gt;0,LEN(CL13)&lt;&gt;0),((HOUR(CL13)*60)+MINUTE(CL13))-((HOUR(CK13)*60)+MINUTE(CK13)),"")</f>
        <v>81</v>
      </c>
      <c r="CO13" s="19" t="s">
        <v>30</v>
      </c>
      <c r="CP13" s="19" t="n">
        <v>0.454166666666667</v>
      </c>
      <c r="CQ13" s="19" t="n">
        <v>0.510416666666667</v>
      </c>
      <c r="CR13" s="1" t="str">
        <f aca="false">"[""" &amp; CO13 &amp; """, """ &amp; IF(CP13="","",TEXT(CP13,"h:mm")) &amp; """, """ &amp; IF(CQ13="","",TEXT(CQ13,"h:mm")) &amp; """],"</f>
        <v>["菱浦", "10:54", "12:15"],</v>
      </c>
      <c r="CS13" s="18" t="n">
        <f aca="false">IF(AND(LEN(CP13)&lt;&gt;0,LEN(CQ13)&lt;&gt;0),((HOUR(CQ13)*60)+MINUTE(CQ13))-((HOUR(CP13)*60)+MINUTE(CP13)),"")</f>
        <v>81</v>
      </c>
      <c r="CU13" s="19" t="s">
        <v>30</v>
      </c>
      <c r="CV13" s="19" t="n">
        <v>0.538194444444444</v>
      </c>
      <c r="CW13" s="19" t="n">
        <v>0.539583333333333</v>
      </c>
      <c r="CX13" s="1" t="str">
        <f aca="false">"[""" &amp; CU13 &amp; """, """ &amp; IF(CV13="","",TEXT(CV13,"h:mm")) &amp; """, """ &amp; IF(CW13="","",TEXT(CW13,"h:mm")) &amp; """],"</f>
        <v>["菱浦", "12:55", "12:57"],</v>
      </c>
      <c r="CY13" s="18" t="n">
        <f aca="false">IF(AND(LEN(CV13)&lt;&gt;0,LEN(CW13)&lt;&gt;0),((HOUR(CW13)*60)+MINUTE(CW13))-((HOUR(CV13)*60)+MINUTE(CV13)),"")</f>
        <v>2</v>
      </c>
      <c r="CZ13" s="19" t="s">
        <v>30</v>
      </c>
      <c r="DA13" s="19" t="n">
        <v>0.391666666666667</v>
      </c>
      <c r="DB13" s="19" t="n">
        <v>0.393055555555556</v>
      </c>
      <c r="DC13" s="1" t="str">
        <f aca="false">"[""" &amp; CZ13 &amp; """, """ &amp; IF(DA13="","",TEXT(DA13,"h:mm")) &amp; """, """ &amp; IF(DB13="","",TEXT(DB13,"h:mm")) &amp; """],"</f>
        <v>["菱浦", "9:24", "9:26"],</v>
      </c>
      <c r="DD13" s="18" t="n">
        <f aca="false">IF(AND(LEN(DA13)&lt;&gt;0,LEN(DB13)&lt;&gt;0),((HOUR(DB13)*60)+MINUTE(DB13))-((HOUR(DA13)*60)+MINUTE(DA13)),"")</f>
        <v>2</v>
      </c>
      <c r="DE13" s="19" t="s">
        <v>30</v>
      </c>
      <c r="DF13" s="19" t="n">
        <v>0.391666666666667</v>
      </c>
      <c r="DG13" s="19" t="n">
        <v>0.393055555555556</v>
      </c>
      <c r="DH13" s="1" t="str">
        <f aca="false">"[""" &amp; DE13 &amp; """, """ &amp; IF(DF13="","",TEXT(DF13,"h:mm")) &amp; """, """ &amp; IF(DG13="","",TEXT(DG13,"h:mm")) &amp; """],"</f>
        <v>["菱浦", "9:24", "9:26"],</v>
      </c>
      <c r="DI13" s="18" t="n">
        <f aca="false">IF(AND(LEN(DF13)&lt;&gt;0,LEN(DG13)&lt;&gt;0),((HOUR(DG13)*60)+MINUTE(DG13))-((HOUR(DF13)*60)+MINUTE(DF13)),"")</f>
        <v>2</v>
      </c>
      <c r="DJ13" s="19" t="s">
        <v>30</v>
      </c>
      <c r="DK13" s="19" t="n">
        <v>0.391666666666667</v>
      </c>
      <c r="DL13" s="19" t="n">
        <v>0.393055555555556</v>
      </c>
      <c r="DM13" s="1" t="str">
        <f aca="false">"[""" &amp; DJ13 &amp; """, """ &amp; IF(DK13="","",TEXT(DK13,"h:mm")) &amp; """, """ &amp; IF(DL13="","",TEXT(DL13,"h:mm")) &amp; """],"</f>
        <v>["菱浦", "9:24", "9:26"],</v>
      </c>
      <c r="DN13" s="18" t="n">
        <f aca="false">IF(AND(LEN(DK13)&lt;&gt;0,LEN(DL13)&lt;&gt;0),((HOUR(DL13)*60)+MINUTE(DL13))-((HOUR(DK13)*60)+MINUTE(DK13)),"")</f>
        <v>2</v>
      </c>
      <c r="DO13" s="19" t="s">
        <v>30</v>
      </c>
      <c r="DP13" s="19" t="n">
        <v>0.391666666666667</v>
      </c>
      <c r="DQ13" s="19" t="n">
        <v>0.393055555555556</v>
      </c>
      <c r="DR13" s="1" t="str">
        <f aca="false">"[""" &amp; DO13 &amp; """, """ &amp; IF(DP13="","",TEXT(DP13,"h:mm")) &amp; """, """ &amp; IF(DQ13="","",TEXT(DQ13,"h:mm")) &amp; """],"</f>
        <v>["菱浦", "9:24", "9:26"],</v>
      </c>
      <c r="DS13" s="18" t="n">
        <f aca="false">IF(AND(LEN(DP13)&lt;&gt;0,LEN(DQ13)&lt;&gt;0),((HOUR(DQ13)*60)+MINUTE(DQ13))-((HOUR(DP13)*60)+MINUTE(DP13)),"")</f>
        <v>2</v>
      </c>
      <c r="DT13" s="20" t="s">
        <v>29</v>
      </c>
      <c r="DU13" s="20" t="n">
        <v>0.564583333333333</v>
      </c>
      <c r="DV13" s="20" t="n">
        <v>0.71875</v>
      </c>
      <c r="DW13" s="1" t="str">
        <f aca="false">"[""" &amp; DT13 &amp; """, """ &amp; IF(DU13="","",TEXT(DU13,"h:mm")) &amp; """, """ &amp; IF(DV13="","",TEXT(DV13,"h:mm")) &amp; """],"</f>
        <v>["別府", "13:33", "17:15"],</v>
      </c>
      <c r="DX13" s="18" t="n">
        <f aca="false">IF(AND(LEN(DU13)&lt;&gt;0,LEN(DV13)&lt;&gt;0),((HOUR(DV13)*60)+MINUTE(DV13))-((HOUR(DU13)*60)+MINUTE(DU13)),"")</f>
        <v>222</v>
      </c>
      <c r="DY13" s="19" t="s">
        <v>30</v>
      </c>
      <c r="DZ13" s="19" t="n">
        <v>0.5125</v>
      </c>
      <c r="EA13" s="19" t="n">
        <v>0.520833333333333</v>
      </c>
      <c r="EB13" s="1" t="str">
        <f aca="false">"[""" &amp; DY13 &amp; """, """ &amp; IF(DZ13="","",TEXT(DZ13,"h:mm")) &amp; """, """ &amp; IF(EA13="","",TEXT(EA13,"h:mm")) &amp; """],"</f>
        <v>["菱浦", "12:18", "12:30"],</v>
      </c>
      <c r="EC13" s="18" t="n">
        <f aca="false">IF(AND(LEN(DZ13)&lt;&gt;0,LEN(EA13)&lt;&gt;0),((HOUR(EA13)*60)+MINUTE(EA13))-((HOUR(DZ13)*60)+MINUTE(DZ13)),"")</f>
        <v>12</v>
      </c>
      <c r="ED13" s="19" t="s">
        <v>30</v>
      </c>
      <c r="EE13" s="19" t="n">
        <v>0.5125</v>
      </c>
      <c r="EF13" s="19" t="n">
        <v>0.520833333333333</v>
      </c>
      <c r="EG13" s="1" t="str">
        <f aca="false">"[""" &amp; ED13 &amp; """, """ &amp; IF(EE13="","",TEXT(EE13,"h:mm")) &amp; """, """ &amp; IF(EF13="","",TEXT(EF13,"h:mm")) &amp; """],"</f>
        <v>["菱浦", "12:18", "12:30"],</v>
      </c>
      <c r="EH13" s="18" t="n">
        <f aca="false">IF(AND(LEN(EE13)&lt;&gt;0,LEN(EF13)&lt;&gt;0),((HOUR(EF13)*60)+MINUTE(EF13))-((HOUR(EE13)*60)+MINUTE(EE13)),"")</f>
        <v>12</v>
      </c>
      <c r="EI13" s="19" t="s">
        <v>30</v>
      </c>
      <c r="EJ13" s="19" t="n">
        <v>0.5125</v>
      </c>
      <c r="EK13" s="19" t="n">
        <v>0.520833333333333</v>
      </c>
      <c r="EL13" s="1" t="str">
        <f aca="false">"[""" &amp; EI13 &amp; """, """ &amp; IF(EJ13="","",TEXT(EJ13,"h:mm")) &amp; """, """ &amp; IF(EK13="","",TEXT(EK13,"h:mm")) &amp; """],"</f>
        <v>["菱浦", "12:18", "12:30"],</v>
      </c>
      <c r="EM13" s="18" t="n">
        <f aca="false">IF(AND(LEN(EJ13)&lt;&gt;0,LEN(EK13)&lt;&gt;0),((HOUR(EK13)*60)+MINUTE(EK13))-((HOUR(EJ13)*60)+MINUTE(EJ13)),"")</f>
        <v>12</v>
      </c>
      <c r="EN13" s="19" t="s">
        <v>30</v>
      </c>
      <c r="EO13" s="19" t="n">
        <v>0.5125</v>
      </c>
      <c r="EP13" s="19" t="n">
        <v>0.520833333333333</v>
      </c>
      <c r="EQ13" s="1" t="str">
        <f aca="false">"[""" &amp; EN13 &amp; """, """ &amp; IF(EO13="","",TEXT(EO13,"h:mm")) &amp; """, """ &amp; IF(EP13="","",TEXT(EP13,"h:mm")) &amp; """],"</f>
        <v>["菱浦", "12:18", "12:30"],</v>
      </c>
      <c r="ER13" s="18" t="n">
        <f aca="false">IF(AND(LEN(EO13)&lt;&gt;0,LEN(EP13)&lt;&gt;0),((HOUR(EP13)*60)+MINUTE(EP13))-((HOUR(EO13)*60)+MINUTE(EO13)),"")</f>
        <v>12</v>
      </c>
    </row>
    <row r="14" customFormat="false" ht="18" hidden="false" customHeight="false" outlineLevel="0" collapsed="false">
      <c r="E14" s="18"/>
      <c r="J14" s="18"/>
      <c r="O14" s="18"/>
      <c r="T14" s="18"/>
      <c r="Y14" s="18"/>
      <c r="AD14" s="18"/>
      <c r="AI14" s="18"/>
      <c r="AN14" s="18"/>
      <c r="AS14" s="18" t="str">
        <f aca="false">IF(AND(LEN(AP14)&lt;&gt;0,LEN(AQ14)&lt;&gt;0),((HOUR(AQ14)*60)+MINUTE(AQ14))-((HOUR(AP14)*60)+MINUTE(AP14)),"")</f>
        <v/>
      </c>
      <c r="AX14" s="18" t="str">
        <f aca="false">IF(AND(LEN(AU14)&lt;&gt;0,LEN(AV14)&lt;&gt;0),((HOUR(AV14)*60)+MINUTE(AV14))-((HOUR(AU14)*60)+MINUTE(AU14)),"")</f>
        <v/>
      </c>
      <c r="BD14" s="18" t="str">
        <f aca="false">IF(AND(LEN(BA14)&lt;&gt;0,LEN(BB14)&lt;&gt;0),((HOUR(BB14)*60)+MINUTE(BB14))-((HOUR(BA14)*60)+MINUTE(BA14)),"")</f>
        <v/>
      </c>
      <c r="BI14" s="18" t="str">
        <f aca="false">IF(AND(LEN(BF14)&lt;&gt;0,LEN(BG14)&lt;&gt;0),((HOUR(BG14)*60)+MINUTE(BG14))-((HOUR(BF14)*60)+MINUTE(BF14)),"")</f>
        <v/>
      </c>
      <c r="BJ14" s="16" t="s">
        <v>29</v>
      </c>
      <c r="BK14" s="16" t="n">
        <v>0.784027777777778</v>
      </c>
      <c r="BL14" s="16"/>
      <c r="BM14" s="1" t="str">
        <f aca="false">"[""" &amp; BJ14 &amp; """, """ &amp; IF(BK14="","",TEXT(BK14,"h:mm")) &amp; """, """ &amp; IF(BL14="","",TEXT(BL14,"h:mm")) &amp; """]"</f>
        <v>["別府", "18:49", ""]</v>
      </c>
      <c r="BN14" s="18" t="str">
        <f aca="false">IF(AND(LEN(BK14)&lt;&gt;0,LEN(BL14)&lt;&gt;0),((HOUR(BL14)*60)+MINUTE(BL14))-((HOUR(BK14)*60)+MINUTE(BK14)),"")</f>
        <v/>
      </c>
      <c r="BS14" s="18" t="str">
        <f aca="false">IF(AND(LEN(BP14)&lt;&gt;0,LEN(BQ14)&lt;&gt;0),((HOUR(BQ14)*60)+MINUTE(BQ14))-((HOUR(BP14)*60)+MINUTE(BP14)),"")</f>
        <v/>
      </c>
      <c r="BX14" s="18" t="str">
        <f aca="false">IF(AND(LEN(BU14)&lt;&gt;0,LEN(BV14)&lt;&gt;0),((HOUR(BV14)*60)+MINUTE(BV14))-((HOUR(BU14)*60)+MINUTE(BU14)),"")</f>
        <v/>
      </c>
      <c r="CC14" s="1" t="s">
        <v>33</v>
      </c>
      <c r="CD14" s="18" t="str">
        <f aca="false">IF(AND(LEN(CA14)&lt;&gt;0,LEN(CB14)&lt;&gt;0),((HOUR(CB14)*60)+MINUTE(CB14))-((HOUR(CA14)*60)+MINUTE(CA14)),"")</f>
        <v/>
      </c>
      <c r="CI14" s="18" t="str">
        <f aca="false">IF(AND(LEN(CF14)&lt;&gt;0,LEN(CG14)&lt;&gt;0),((HOUR(CG14)*60)+MINUTE(CG14))-((HOUR(CF14)*60)+MINUTE(CF14)),"")</f>
        <v/>
      </c>
      <c r="CJ14" s="20" t="s">
        <v>29</v>
      </c>
      <c r="CK14" s="20" t="n">
        <v>0.520833333333333</v>
      </c>
      <c r="CL14" s="20" t="n">
        <v>0.524305555555556</v>
      </c>
      <c r="CM14" s="1" t="str">
        <f aca="false">"[""" &amp; CJ14 &amp; """, """ &amp; IF(CK14="","",TEXT(CK14,"h:mm")) &amp; """, """ &amp; IF(CL14="","",TEXT(CL14,"h:mm")) &amp; """],"</f>
        <v>["別府", "12:30", "12:35"],</v>
      </c>
      <c r="CN14" s="18" t="n">
        <f aca="false">IF(AND(LEN(CK14)&lt;&gt;0,LEN(CL14)&lt;&gt;0),((HOUR(CL14)*60)+MINUTE(CL14))-((HOUR(CK14)*60)+MINUTE(CK14)),"")</f>
        <v>5</v>
      </c>
      <c r="CO14" s="20" t="s">
        <v>29</v>
      </c>
      <c r="CP14" s="20" t="n">
        <v>0.520833333333333</v>
      </c>
      <c r="CQ14" s="20" t="n">
        <v>0.524305555555556</v>
      </c>
      <c r="CR14" s="1" t="str">
        <f aca="false">"[""" &amp; CO14 &amp; """, """ &amp; IF(CP14="","",TEXT(CP14,"h:mm")) &amp; """, """ &amp; IF(CQ14="","",TEXT(CQ14,"h:mm")) &amp; """],"</f>
        <v>["別府", "12:30", "12:35"],</v>
      </c>
      <c r="CS14" s="18" t="n">
        <f aca="false">IF(AND(LEN(CP14)&lt;&gt;0,LEN(CQ14)&lt;&gt;0),((HOUR(CQ14)*60)+MINUTE(CQ14))-((HOUR(CP14)*60)+MINUTE(CP14)),"")</f>
        <v>5</v>
      </c>
      <c r="CU14" s="20" t="s">
        <v>29</v>
      </c>
      <c r="CV14" s="20" t="n">
        <v>0.545138888888889</v>
      </c>
      <c r="CW14" s="20" t="n">
        <v>0.552083333333333</v>
      </c>
      <c r="CX14" s="1" t="str">
        <f aca="false">"[""" &amp; CU14 &amp; """, """ &amp; IF(CV14="","",TEXT(CV14,"h:mm")) &amp; """, """ &amp; IF(CW14="","",TEXT(CW14,"h:mm")) &amp; """],"</f>
        <v>["別府", "13:05", "13:15"],</v>
      </c>
      <c r="CY14" s="18" t="n">
        <f aca="false">IF(AND(LEN(CV14)&lt;&gt;0,LEN(CW14)&lt;&gt;0),((HOUR(CW14)*60)+MINUTE(CW14))-((HOUR(CV14)*60)+MINUTE(CV14)),"")</f>
        <v>10</v>
      </c>
      <c r="CZ14" s="20" t="s">
        <v>29</v>
      </c>
      <c r="DA14" s="20" t="n">
        <v>0.397916666666667</v>
      </c>
      <c r="DB14" s="20" t="n">
        <v>0.418055555555556</v>
      </c>
      <c r="DC14" s="1" t="str">
        <f aca="false">"[""" &amp; CZ14 &amp; """, """ &amp; IF(DA14="","",TEXT(DA14,"h:mm")) &amp; """, """ &amp; IF(DB14="","",TEXT(DB14,"h:mm")) &amp; """],"</f>
        <v>["別府", "9:33", "10:02"],</v>
      </c>
      <c r="DD14" s="18" t="n">
        <f aca="false">IF(AND(LEN(DA14)&lt;&gt;0,LEN(DB14)&lt;&gt;0),((HOUR(DB14)*60)+MINUTE(DB14))-((HOUR(DA14)*60)+MINUTE(DA14)),"")</f>
        <v>29</v>
      </c>
      <c r="DE14" s="20" t="s">
        <v>29</v>
      </c>
      <c r="DF14" s="20" t="n">
        <v>0.397916666666667</v>
      </c>
      <c r="DG14" s="20" t="n">
        <v>0.418055555555556</v>
      </c>
      <c r="DH14" s="1" t="str">
        <f aca="false">"[""" &amp; DE14 &amp; """, """ &amp; IF(DF14="","",TEXT(DF14,"h:mm")) &amp; """, """ &amp; IF(DG14="","",TEXT(DG14,"h:mm")) &amp; """],"</f>
        <v>["別府", "9:33", "10:02"],</v>
      </c>
      <c r="DI14" s="18" t="n">
        <f aca="false">IF(AND(LEN(DF14)&lt;&gt;0,LEN(DG14)&lt;&gt;0),((HOUR(DG14)*60)+MINUTE(DG14))-((HOUR(DF14)*60)+MINUTE(DF14)),"")</f>
        <v>29</v>
      </c>
      <c r="DJ14" s="20" t="s">
        <v>29</v>
      </c>
      <c r="DK14" s="20" t="n">
        <v>0.397916666666667</v>
      </c>
      <c r="DL14" s="20" t="n">
        <v>0.418055555555556</v>
      </c>
      <c r="DM14" s="1" t="str">
        <f aca="false">"[""" &amp; DJ14 &amp; """, """ &amp; IF(DK14="","",TEXT(DK14,"h:mm")) &amp; """, """ &amp; IF(DL14="","",TEXT(DL14,"h:mm")) &amp; """],"</f>
        <v>["別府", "9:33", "10:02"],</v>
      </c>
      <c r="DN14" s="18" t="n">
        <f aca="false">IF(AND(LEN(DK14)&lt;&gt;0,LEN(DL14)&lt;&gt;0),((HOUR(DL14)*60)+MINUTE(DL14))-((HOUR(DK14)*60)+MINUTE(DK14)),"")</f>
        <v>29</v>
      </c>
      <c r="DO14" s="20" t="s">
        <v>29</v>
      </c>
      <c r="DP14" s="20" t="n">
        <v>0.397916666666667</v>
      </c>
      <c r="DQ14" s="20" t="n">
        <v>0.418055555555556</v>
      </c>
      <c r="DR14" s="1" t="str">
        <f aca="false">"[""" &amp; DO14 &amp; """, """ &amp; IF(DP14="","",TEXT(DP14,"h:mm")) &amp; """, """ &amp; IF(DQ14="","",TEXT(DQ14,"h:mm")) &amp; """],"</f>
        <v>["別府", "9:33", "10:02"],</v>
      </c>
      <c r="DS14" s="18" t="n">
        <f aca="false">IF(AND(LEN(DP14)&lt;&gt;0,LEN(DQ14)&lt;&gt;0),((HOUR(DQ14)*60)+MINUTE(DQ14))-((HOUR(DP14)*60)+MINUTE(DP14)),"")</f>
        <v>29</v>
      </c>
      <c r="DT14" s="19" t="s">
        <v>30</v>
      </c>
      <c r="DU14" s="19" t="n">
        <v>0.724305555555556</v>
      </c>
      <c r="DV14" s="19" t="n">
        <v>0.75625</v>
      </c>
      <c r="DW14" s="1" t="str">
        <f aca="false">"[""" &amp; DT14 &amp; """, """ &amp; IF(DU14="","",TEXT(DU14,"h:mm")) &amp; """, """ &amp; IF(DV14="","",TEXT(DV14,"h:mm")) &amp; """],"</f>
        <v>["菱浦", "17:23", "18:09"],</v>
      </c>
      <c r="DX14" s="18" t="n">
        <f aca="false">IF(AND(LEN(DU14)&lt;&gt;0,LEN(DV14)&lt;&gt;0),((HOUR(DV14)*60)+MINUTE(DV14))-((HOUR(DU14)*60)+MINUTE(DU14)),"")</f>
        <v>46</v>
      </c>
      <c r="DY14" s="20" t="s">
        <v>29</v>
      </c>
      <c r="DZ14" s="20" t="n">
        <v>0.525694444444445</v>
      </c>
      <c r="EA14" s="20" t="n">
        <v>0.534722222222222</v>
      </c>
      <c r="EB14" s="1" t="str">
        <f aca="false">"[""" &amp; DY14 &amp; """, """ &amp; IF(DZ14="","",TEXT(DZ14,"h:mm")) &amp; """, """ &amp; IF(EA14="","",TEXT(EA14,"h:mm")) &amp; """],"</f>
        <v>["別府", "12:37", "12:50"],</v>
      </c>
      <c r="EC14" s="18" t="n">
        <f aca="false">IF(AND(LEN(DZ14)&lt;&gt;0,LEN(EA14)&lt;&gt;0),((HOUR(EA14)*60)+MINUTE(EA14))-((HOUR(DZ14)*60)+MINUTE(DZ14)),"")</f>
        <v>13</v>
      </c>
      <c r="ED14" s="20" t="s">
        <v>29</v>
      </c>
      <c r="EE14" s="20" t="n">
        <v>0.525694444444445</v>
      </c>
      <c r="EF14" s="20" t="n">
        <v>0.534722222222222</v>
      </c>
      <c r="EG14" s="1" t="str">
        <f aca="false">"[""" &amp; ED14 &amp; """, """ &amp; IF(EE14="","",TEXT(EE14,"h:mm")) &amp; """, """ &amp; IF(EF14="","",TEXT(EF14,"h:mm")) &amp; """],"</f>
        <v>["別府", "12:37", "12:50"],</v>
      </c>
      <c r="EH14" s="18" t="n">
        <f aca="false">IF(AND(LEN(EE14)&lt;&gt;0,LEN(EF14)&lt;&gt;0),((HOUR(EF14)*60)+MINUTE(EF14))-((HOUR(EE14)*60)+MINUTE(EE14)),"")</f>
        <v>13</v>
      </c>
      <c r="EI14" s="20" t="s">
        <v>29</v>
      </c>
      <c r="EJ14" s="20" t="n">
        <v>0.525694444444445</v>
      </c>
      <c r="EK14" s="20" t="n">
        <v>0.534722222222222</v>
      </c>
      <c r="EL14" s="1" t="str">
        <f aca="false">"[""" &amp; EI14 &amp; """, """ &amp; IF(EJ14="","",TEXT(EJ14,"h:mm")) &amp; """, """ &amp; IF(EK14="","",TEXT(EK14,"h:mm")) &amp; """],"</f>
        <v>["別府", "12:37", "12:50"],</v>
      </c>
      <c r="EM14" s="18" t="n">
        <f aca="false">IF(AND(LEN(EJ14)&lt;&gt;0,LEN(EK14)&lt;&gt;0),((HOUR(EK14)*60)+MINUTE(EK14))-((HOUR(EJ14)*60)+MINUTE(EJ14)),"")</f>
        <v>13</v>
      </c>
      <c r="EN14" s="20" t="s">
        <v>29</v>
      </c>
      <c r="EO14" s="20" t="n">
        <v>0.525694444444445</v>
      </c>
      <c r="EP14" s="20" t="n">
        <v>0.534722222222222</v>
      </c>
      <c r="EQ14" s="1" t="str">
        <f aca="false">"[""" &amp; EN14 &amp; """, """ &amp; IF(EO14="","",TEXT(EO14,"h:mm")) &amp; """, """ &amp; IF(EP14="","",TEXT(EP14,"h:mm")) &amp; """],"</f>
        <v>["別府", "12:37", "12:50"],</v>
      </c>
      <c r="ER14" s="18" t="n">
        <f aca="false">IF(AND(LEN(EO14)&lt;&gt;0,LEN(EP14)&lt;&gt;0),((HOUR(EP14)*60)+MINUTE(EP14))-((HOUR(EO14)*60)+MINUTE(EO14)),"")</f>
        <v>13</v>
      </c>
    </row>
    <row r="15" customFormat="false" ht="18" hidden="false" customHeight="false" outlineLevel="0" collapsed="false">
      <c r="E15" s="18"/>
      <c r="J15" s="18"/>
      <c r="O15" s="18"/>
      <c r="T15" s="18"/>
      <c r="Y15" s="18"/>
      <c r="AD15" s="18"/>
      <c r="AI15" s="18"/>
      <c r="AN15" s="18"/>
      <c r="AS15" s="18" t="str">
        <f aca="false">IF(AND(LEN(AP15)&lt;&gt;0,LEN(AQ15)&lt;&gt;0),((HOUR(AQ15)*60)+MINUTE(AQ15))-((HOUR(AP15)*60)+MINUTE(AP15)),"")</f>
        <v/>
      </c>
      <c r="AX15" s="18" t="str">
        <f aca="false">IF(AND(LEN(AU15)&lt;&gt;0,LEN(AV15)&lt;&gt;0),((HOUR(AV15)*60)+MINUTE(AV15))-((HOUR(AU15)*60)+MINUTE(AU15)),"")</f>
        <v/>
      </c>
      <c r="AY15" s="26"/>
      <c r="BD15" s="18" t="str">
        <f aca="false">IF(AND(LEN(BA15)&lt;&gt;0,LEN(BB15)&lt;&gt;0),((HOUR(BB15)*60)+MINUTE(BB15))-((HOUR(BA15)*60)+MINUTE(BA15)),"")</f>
        <v/>
      </c>
      <c r="BI15" s="18" t="str">
        <f aca="false">IF(AND(LEN(BF15)&lt;&gt;0,LEN(BG15)&lt;&gt;0),((HOUR(BG15)*60)+MINUTE(BG15))-((HOUR(BF15)*60)+MINUTE(BF15)),"")</f>
        <v/>
      </c>
      <c r="BM15" s="1" t="s">
        <v>33</v>
      </c>
      <c r="BN15" s="18" t="str">
        <f aca="false">IF(AND(LEN(BK15)&lt;&gt;0,LEN(BL15)&lt;&gt;0),((HOUR(BL15)*60)+MINUTE(BL15))-((HOUR(BK15)*60)+MINUTE(BK15)),"")</f>
        <v/>
      </c>
      <c r="BS15" s="18" t="str">
        <f aca="false">IF(AND(LEN(BP15)&lt;&gt;0,LEN(BQ15)&lt;&gt;0),((HOUR(BQ15)*60)+MINUTE(BQ15))-((HOUR(BP15)*60)+MINUTE(BP15)),"")</f>
        <v/>
      </c>
      <c r="BX15" s="18" t="str">
        <f aca="false">IF(AND(LEN(BU15)&lt;&gt;0,LEN(BV15)&lt;&gt;0),((HOUR(BV15)*60)+MINUTE(BV15))-((HOUR(BU15)*60)+MINUTE(BU15)),"")</f>
        <v/>
      </c>
      <c r="BZ15" s="27"/>
      <c r="CA15" s="27"/>
      <c r="CB15" s="27"/>
      <c r="CD15" s="18" t="str">
        <f aca="false">IF(AND(LEN(CA15)&lt;&gt;0,LEN(CB15)&lt;&gt;0),((HOUR(CB15)*60)+MINUTE(CB15))-((HOUR(CA15)*60)+MINUTE(CA15)),"")</f>
        <v/>
      </c>
      <c r="CI15" s="18" t="str">
        <f aca="false">IF(AND(LEN(CF15)&lt;&gt;0,LEN(CG15)&lt;&gt;0),((HOUR(CG15)*60)+MINUTE(CG15))-((HOUR(CF15)*60)+MINUTE(CF15)),"")</f>
        <v/>
      </c>
      <c r="CJ15" s="19" t="s">
        <v>30</v>
      </c>
      <c r="CK15" s="19" t="n">
        <v>0.532638888888889</v>
      </c>
      <c r="CL15" s="19" t="n">
        <v>0.538194444444444</v>
      </c>
      <c r="CM15" s="1" t="str">
        <f aca="false">"[""" &amp; CJ15 &amp; """, """ &amp; IF(CK15="","",TEXT(CK15,"h:mm")) &amp; """, """ &amp; IF(CL15="","",TEXT(CL15,"h:mm")) &amp; """],"</f>
        <v>["菱浦", "12:47", "12:55"],</v>
      </c>
      <c r="CN15" s="18" t="n">
        <f aca="false">IF(AND(LEN(CK15)&lt;&gt;0,LEN(CL15)&lt;&gt;0),((HOUR(CL15)*60)+MINUTE(CL15))-((HOUR(CK15)*60)+MINUTE(CK15)),"")</f>
        <v>8</v>
      </c>
      <c r="CO15" s="19" t="s">
        <v>30</v>
      </c>
      <c r="CP15" s="19" t="n">
        <v>0.532638888888889</v>
      </c>
      <c r="CQ15" s="19" t="n">
        <v>0.538194444444444</v>
      </c>
      <c r="CR15" s="1" t="str">
        <f aca="false">"[""" &amp; CO15 &amp; """, """ &amp; IF(CP15="","",TEXT(CP15,"h:mm")) &amp; """, """ &amp; IF(CQ15="","",TEXT(CQ15,"h:mm")) &amp; """],"</f>
        <v>["菱浦", "12:47", "12:55"],</v>
      </c>
      <c r="CS15" s="18" t="n">
        <f aca="false">IF(AND(LEN(CP15)&lt;&gt;0,LEN(CQ15)&lt;&gt;0),((HOUR(CQ15)*60)+MINUTE(CQ15))-((HOUR(CP15)*60)+MINUTE(CP15)),"")</f>
        <v>8</v>
      </c>
      <c r="CT15" s="28"/>
      <c r="CU15" s="19" t="s">
        <v>30</v>
      </c>
      <c r="CV15" s="19" t="n">
        <v>0.557638888888889</v>
      </c>
      <c r="CW15" s="19" t="n">
        <v>0.559027777777778</v>
      </c>
      <c r="CX15" s="1" t="str">
        <f aca="false">"[""" &amp; CU15 &amp; """, """ &amp; IF(CV15="","",TEXT(CV15,"h:mm")) &amp; """, """ &amp; IF(CW15="","",TEXT(CW15,"h:mm")) &amp; """],"</f>
        <v>["菱浦", "13:23", "13:25"],</v>
      </c>
      <c r="CY15" s="18" t="n">
        <f aca="false">IF(AND(LEN(CV15)&lt;&gt;0,LEN(CW15)&lt;&gt;0),((HOUR(CW15)*60)+MINUTE(CW15))-((HOUR(CV15)*60)+MINUTE(CV15)),"")</f>
        <v>2</v>
      </c>
      <c r="CZ15" s="19" t="s">
        <v>30</v>
      </c>
      <c r="DA15" s="19" t="n">
        <v>0.422916666666667</v>
      </c>
      <c r="DB15" s="19" t="n">
        <v>0.424305555555556</v>
      </c>
      <c r="DC15" s="1" t="str">
        <f aca="false">"[""" &amp; CZ15 &amp; """, """ &amp; IF(DA15="","",TEXT(DA15,"h:mm")) &amp; """, """ &amp; IF(DB15="","",TEXT(DB15,"h:mm")) &amp; """],"</f>
        <v>["菱浦", "10:09", "10:11"],</v>
      </c>
      <c r="DD15" s="18" t="n">
        <f aca="false">IF(AND(LEN(DA15)&lt;&gt;0,LEN(DB15)&lt;&gt;0),((HOUR(DB15)*60)+MINUTE(DB15))-((HOUR(DA15)*60)+MINUTE(DA15)),"")</f>
        <v>2</v>
      </c>
      <c r="DE15" s="19" t="s">
        <v>30</v>
      </c>
      <c r="DF15" s="19" t="n">
        <v>0.422916666666667</v>
      </c>
      <c r="DG15" s="19" t="n">
        <v>0.424305555555556</v>
      </c>
      <c r="DH15" s="1" t="str">
        <f aca="false">"[""" &amp; DE15 &amp; """, """ &amp; IF(DF15="","",TEXT(DF15,"h:mm")) &amp; """, """ &amp; IF(DG15="","",TEXT(DG15,"h:mm")) &amp; """],"</f>
        <v>["菱浦", "10:09", "10:11"],</v>
      </c>
      <c r="DI15" s="18" t="n">
        <f aca="false">IF(AND(LEN(DF15)&lt;&gt;0,LEN(DG15)&lt;&gt;0),((HOUR(DG15)*60)+MINUTE(DG15))-((HOUR(DF15)*60)+MINUTE(DF15)),"")</f>
        <v>2</v>
      </c>
      <c r="DJ15" s="19" t="s">
        <v>30</v>
      </c>
      <c r="DK15" s="19" t="n">
        <v>0.422916666666667</v>
      </c>
      <c r="DL15" s="19" t="n">
        <v>0.424305555555556</v>
      </c>
      <c r="DM15" s="1" t="str">
        <f aca="false">"[""" &amp; DJ15 &amp; """, """ &amp; IF(DK15="","",TEXT(DK15,"h:mm")) &amp; """, """ &amp; IF(DL15="","",TEXT(DL15,"h:mm")) &amp; """],"</f>
        <v>["菱浦", "10:09", "10:11"],</v>
      </c>
      <c r="DN15" s="18" t="n">
        <f aca="false">IF(AND(LEN(DK15)&lt;&gt;0,LEN(DL15)&lt;&gt;0),((HOUR(DL15)*60)+MINUTE(DL15))-((HOUR(DK15)*60)+MINUTE(DK15)),"")</f>
        <v>2</v>
      </c>
      <c r="DO15" s="19" t="s">
        <v>30</v>
      </c>
      <c r="DP15" s="19" t="n">
        <v>0.422916666666667</v>
      </c>
      <c r="DQ15" s="19" t="n">
        <v>0.424305555555556</v>
      </c>
      <c r="DR15" s="1" t="str">
        <f aca="false">"[""" &amp; DO15 &amp; """, """ &amp; IF(DP15="","",TEXT(DP15,"h:mm")) &amp; """, """ &amp; IF(DQ15="","",TEXT(DQ15,"h:mm")) &amp; """],"</f>
        <v>["菱浦", "10:09", "10:11"],</v>
      </c>
      <c r="DS15" s="18" t="n">
        <f aca="false">IF(AND(LEN(DP15)&lt;&gt;0,LEN(DQ15)&lt;&gt;0),((HOUR(DQ15)*60)+MINUTE(DQ15))-((HOUR(DP15)*60)+MINUTE(DP15)),"")</f>
        <v>2</v>
      </c>
      <c r="DT15" s="20" t="s">
        <v>29</v>
      </c>
      <c r="DU15" s="20" t="n">
        <v>0.761805555555556</v>
      </c>
      <c r="DW15" s="1" t="str">
        <f aca="false">"[""" &amp; DT15 &amp; """, """ &amp; IF(DU15="","",TEXT(DU15,"h:mm")) &amp; """, """ &amp; IF(DV15="","",TEXT(DV15,"h:mm")) &amp; """]"</f>
        <v>["別府", "18:17", ""]</v>
      </c>
      <c r="DX15" s="18" t="str">
        <f aca="false">IF(AND(LEN(DU15)&lt;&gt;0,LEN(DV15)&lt;&gt;0),((HOUR(DV15)*60)+MINUTE(DV15))-((HOUR(DU15)*60)+MINUTE(DU15)),"")</f>
        <v/>
      </c>
      <c r="DY15" s="19" t="s">
        <v>30</v>
      </c>
      <c r="DZ15" s="19" t="n">
        <v>0.540277777777778</v>
      </c>
      <c r="EA15" s="19" t="n">
        <v>0.55625</v>
      </c>
      <c r="EB15" s="1" t="str">
        <f aca="false">"[""" &amp; DY15 &amp; """, """ &amp; IF(DZ15="","",TEXT(DZ15,"h:mm")) &amp; """, """ &amp; IF(EA15="","",TEXT(EA15,"h:mm")) &amp; """],"</f>
        <v>["菱浦", "12:58", "13:21"],</v>
      </c>
      <c r="EC15" s="18" t="n">
        <f aca="false">IF(AND(LEN(DZ15)&lt;&gt;0,LEN(EA15)&lt;&gt;0),((HOUR(EA15)*60)+MINUTE(EA15))-((HOUR(DZ15)*60)+MINUTE(DZ15)),"")</f>
        <v>23</v>
      </c>
      <c r="ED15" s="19" t="s">
        <v>30</v>
      </c>
      <c r="EE15" s="19" t="n">
        <v>0.540277777777778</v>
      </c>
      <c r="EF15" s="19" t="n">
        <v>0.55625</v>
      </c>
      <c r="EG15" s="1" t="str">
        <f aca="false">"[""" &amp; ED15 &amp; """, """ &amp; IF(EE15="","",TEXT(EE15,"h:mm")) &amp; """, """ &amp; IF(EF15="","",TEXT(EF15,"h:mm")) &amp; """],"</f>
        <v>["菱浦", "12:58", "13:21"],</v>
      </c>
      <c r="EH15" s="18" t="n">
        <f aca="false">IF(AND(LEN(EE15)&lt;&gt;0,LEN(EF15)&lt;&gt;0),((HOUR(EF15)*60)+MINUTE(EF15))-((HOUR(EE15)*60)+MINUTE(EE15)),"")</f>
        <v>23</v>
      </c>
      <c r="EI15" s="19" t="s">
        <v>30</v>
      </c>
      <c r="EJ15" s="19" t="n">
        <v>0.540277777777778</v>
      </c>
      <c r="EK15" s="19" t="n">
        <v>0.55625</v>
      </c>
      <c r="EL15" s="1" t="str">
        <f aca="false">"[""" &amp; EI15 &amp; """, """ &amp; IF(EJ15="","",TEXT(EJ15,"h:mm")) &amp; """, """ &amp; IF(EK15="","",TEXT(EK15,"h:mm")) &amp; """],"</f>
        <v>["菱浦", "12:58", "13:21"],</v>
      </c>
      <c r="EM15" s="18" t="n">
        <f aca="false">IF(AND(LEN(EJ15)&lt;&gt;0,LEN(EK15)&lt;&gt;0),((HOUR(EK15)*60)+MINUTE(EK15))-((HOUR(EJ15)*60)+MINUTE(EJ15)),"")</f>
        <v>23</v>
      </c>
      <c r="EN15" s="19" t="s">
        <v>30</v>
      </c>
      <c r="EO15" s="19" t="n">
        <v>0.540277777777778</v>
      </c>
      <c r="EP15" s="19" t="n">
        <v>0.55625</v>
      </c>
      <c r="EQ15" s="1" t="str">
        <f aca="false">"[""" &amp; EN15 &amp; """, """ &amp; IF(EO15="","",TEXT(EO15,"h:mm")) &amp; """, """ &amp; IF(EP15="","",TEXT(EP15,"h:mm")) &amp; """],"</f>
        <v>["菱浦", "12:58", "13:21"],</v>
      </c>
      <c r="ER15" s="18" t="n">
        <f aca="false">IF(AND(LEN(EO15)&lt;&gt;0,LEN(EP15)&lt;&gt;0),((HOUR(EP15)*60)+MINUTE(EP15))-((HOUR(EO15)*60)+MINUTE(EO15)),"")</f>
        <v>23</v>
      </c>
    </row>
    <row r="16" customFormat="false" ht="18" hidden="false" customHeight="false" outlineLevel="0" collapsed="false">
      <c r="E16" s="18"/>
      <c r="J16" s="18"/>
      <c r="O16" s="18"/>
      <c r="T16" s="18"/>
      <c r="Y16" s="18"/>
      <c r="AD16" s="18"/>
      <c r="AI16" s="18"/>
      <c r="AN16" s="18"/>
      <c r="AS16" s="18" t="str">
        <f aca="false">IF(AND(LEN(AP16)&lt;&gt;0,LEN(AQ16)&lt;&gt;0),((HOUR(AQ16)*60)+MINUTE(AQ16))-((HOUR(AP16)*60)+MINUTE(AP16)),"")</f>
        <v/>
      </c>
      <c r="AX16" s="18" t="str">
        <f aca="false">IF(AND(LEN(AU16)&lt;&gt;0,LEN(AV16)&lt;&gt;0),((HOUR(AV16)*60)+MINUTE(AV16))-((HOUR(AU16)*60)+MINUTE(AU16)),"")</f>
        <v/>
      </c>
      <c r="AY16" s="26"/>
      <c r="BD16" s="18" t="str">
        <f aca="false">IF(AND(LEN(BA16)&lt;&gt;0,LEN(BB16)&lt;&gt;0),((HOUR(BB16)*60)+MINUTE(BB16))-((HOUR(BA16)*60)+MINUTE(BA16)),"")</f>
        <v/>
      </c>
      <c r="BI16" s="18" t="str">
        <f aca="false">IF(AND(LEN(BF16)&lt;&gt;0,LEN(BG16)&lt;&gt;0),((HOUR(BG16)*60)+MINUTE(BG16))-((HOUR(BF16)*60)+MINUTE(BF16)),"")</f>
        <v/>
      </c>
      <c r="BN16" s="18" t="str">
        <f aca="false">IF(AND(LEN(BK16)&lt;&gt;0,LEN(BL16)&lt;&gt;0),((HOUR(BL16)*60)+MINUTE(BL16))-((HOUR(BK16)*60)+MINUTE(BK16)),"")</f>
        <v/>
      </c>
      <c r="BS16" s="18" t="str">
        <f aca="false">IF(AND(LEN(BP16)&lt;&gt;0,LEN(BQ16)&lt;&gt;0),((HOUR(BQ16)*60)+MINUTE(BQ16))-((HOUR(BP16)*60)+MINUTE(BP16)),"")</f>
        <v/>
      </c>
      <c r="BX16" s="18" t="str">
        <f aca="false">IF(AND(LEN(BU16)&lt;&gt;0,LEN(BV16)&lt;&gt;0),((HOUR(BV16)*60)+MINUTE(BV16))-((HOUR(BU16)*60)+MINUTE(BU16)),"")</f>
        <v/>
      </c>
      <c r="BZ16" s="27"/>
      <c r="CA16" s="27"/>
      <c r="CB16" s="27"/>
      <c r="CD16" s="18" t="str">
        <f aca="false">IF(AND(LEN(CA16)&lt;&gt;0,LEN(CB16)&lt;&gt;0),((HOUR(CB16)*60)+MINUTE(CB16))-((HOUR(CA16)*60)+MINUTE(CA16)),"")</f>
        <v/>
      </c>
      <c r="CI16" s="18" t="str">
        <f aca="false">IF(AND(LEN(CF16)&lt;&gt;0,LEN(CG16)&lt;&gt;0),((HOUR(CG16)*60)+MINUTE(CG16))-((HOUR(CF16)*60)+MINUTE(CF16)),"")</f>
        <v/>
      </c>
      <c r="CJ16" s="20" t="s">
        <v>29</v>
      </c>
      <c r="CK16" s="20" t="n">
        <v>0.548611111111111</v>
      </c>
      <c r="CL16" s="20" t="n">
        <v>0.552083333333333</v>
      </c>
      <c r="CM16" s="1" t="str">
        <f aca="false">"[""" &amp; CJ16 &amp; """, """ &amp; IF(CK16="","",TEXT(CK16,"h:mm")) &amp; """, """ &amp; IF(CL16="","",TEXT(CL16,"h:mm")) &amp; """],"</f>
        <v>["別府", "13:10", "13:15"],</v>
      </c>
      <c r="CN16" s="18" t="n">
        <f aca="false">IF(AND(LEN(CK16)&lt;&gt;0,LEN(CL16)&lt;&gt;0),((HOUR(CL16)*60)+MINUTE(CL16))-((HOUR(CK16)*60)+MINUTE(CK16)),"")</f>
        <v>5</v>
      </c>
      <c r="CO16" s="20" t="s">
        <v>29</v>
      </c>
      <c r="CP16" s="20" t="n">
        <v>0.548611111111111</v>
      </c>
      <c r="CQ16" s="20" t="n">
        <v>0.555555555555556</v>
      </c>
      <c r="CR16" s="1" t="str">
        <f aca="false">"[""" &amp; CO16 &amp; """, """ &amp; IF(CP16="","",TEXT(CP16,"h:mm")) &amp; """, """ &amp; IF(CQ16="","",TEXT(CQ16,"h:mm")) &amp; """],"</f>
        <v>["別府", "13:10", "13:20"],</v>
      </c>
      <c r="CS16" s="18" t="n">
        <f aca="false">IF(AND(LEN(CP16)&lt;&gt;0,LEN(CQ16)&lt;&gt;0),((HOUR(CQ16)*60)+MINUTE(CQ16))-((HOUR(CP16)*60)+MINUTE(CP16)),"")</f>
        <v>10</v>
      </c>
      <c r="CT16" s="28"/>
      <c r="CU16" s="20" t="s">
        <v>29</v>
      </c>
      <c r="CV16" s="20" t="n">
        <v>0.564583333333333</v>
      </c>
      <c r="CW16" s="20" t="n">
        <v>0.572916666666667</v>
      </c>
      <c r="CX16" s="1" t="str">
        <f aca="false">"[""" &amp; CU16 &amp; """, """ &amp; IF(CV16="","",TEXT(CV16,"h:mm")) &amp; """, """ &amp; IF(CW16="","",TEXT(CW16,"h:mm")) &amp; """],"</f>
        <v>["別府", "13:33", "13:45"],</v>
      </c>
      <c r="CY16" s="18" t="n">
        <f aca="false">IF(AND(LEN(CV16)&lt;&gt;0,LEN(CW16)&lt;&gt;0),((HOUR(CW16)*60)+MINUTE(CW16))-((HOUR(CV16)*60)+MINUTE(CV16)),"")</f>
        <v>12</v>
      </c>
      <c r="CZ16" s="21" t="s">
        <v>31</v>
      </c>
      <c r="DA16" s="22" t="n">
        <v>0.436805555555556</v>
      </c>
      <c r="DB16" s="22" t="n">
        <v>0.438194444444445</v>
      </c>
      <c r="DC16" s="1" t="str">
        <f aca="false">"[""" &amp; CZ16 &amp; """, """ &amp; IF(DA16="","",TEXT(DA16,"h:mm")) &amp; """, """ &amp; IF(DB16="","",TEXT(DB16,"h:mm")) &amp; """],"</f>
        <v>["来居", "10:29", "10:31"],</v>
      </c>
      <c r="DD16" s="18" t="n">
        <f aca="false">IF(AND(LEN(DA16)&lt;&gt;0,LEN(DB16)&lt;&gt;0),((HOUR(DB16)*60)+MINUTE(DB16))-((HOUR(DA16)*60)+MINUTE(DA16)),"")</f>
        <v>2</v>
      </c>
      <c r="DE16" s="21" t="s">
        <v>31</v>
      </c>
      <c r="DF16" s="22" t="n">
        <v>0.436805555555556</v>
      </c>
      <c r="DG16" s="22" t="n">
        <v>0.438194444444445</v>
      </c>
      <c r="DH16" s="1" t="str">
        <f aca="false">"[""" &amp; DE16 &amp; """, """ &amp; IF(DF16="","",TEXT(DF16,"h:mm")) &amp; """, """ &amp; IF(DG16="","",TEXT(DG16,"h:mm")) &amp; """],"</f>
        <v>["来居", "10:29", "10:31"],</v>
      </c>
      <c r="DI16" s="18" t="n">
        <f aca="false">IF(AND(LEN(DF16)&lt;&gt;0,LEN(DG16)&lt;&gt;0),((HOUR(DG16)*60)+MINUTE(DG16))-((HOUR(DF16)*60)+MINUTE(DF16)),"")</f>
        <v>2</v>
      </c>
      <c r="DJ16" s="21" t="s">
        <v>31</v>
      </c>
      <c r="DK16" s="22" t="n">
        <v>0.436805555555556</v>
      </c>
      <c r="DL16" s="22" t="n">
        <v>0.438194444444445</v>
      </c>
      <c r="DM16" s="1" t="str">
        <f aca="false">"[""" &amp; DJ16 &amp; """, """ &amp; IF(DK16="","",TEXT(DK16,"h:mm")) &amp; """, """ &amp; IF(DL16="","",TEXT(DL16,"h:mm")) &amp; """],"</f>
        <v>["来居", "10:29", "10:31"],</v>
      </c>
      <c r="DN16" s="18" t="n">
        <f aca="false">IF(AND(LEN(DK16)&lt;&gt;0,LEN(DL16)&lt;&gt;0),((HOUR(DL16)*60)+MINUTE(DL16))-((HOUR(DK16)*60)+MINUTE(DK16)),"")</f>
        <v>2</v>
      </c>
      <c r="DO16" s="21" t="s">
        <v>31</v>
      </c>
      <c r="DP16" s="22" t="n">
        <v>0.436805555555556</v>
      </c>
      <c r="DQ16" s="22" t="n">
        <v>0.438194444444445</v>
      </c>
      <c r="DR16" s="1" t="str">
        <f aca="false">"[""" &amp; DO16 &amp; """, """ &amp; IF(DP16="","",TEXT(DP16,"h:mm")) &amp; """, """ &amp; IF(DQ16="","",TEXT(DQ16,"h:mm")) &amp; """],"</f>
        <v>["来居", "10:29", "10:31"],</v>
      </c>
      <c r="DS16" s="18" t="n">
        <f aca="false">IF(AND(LEN(DP16)&lt;&gt;0,LEN(DQ16)&lt;&gt;0),((HOUR(DQ16)*60)+MINUTE(DQ16))-((HOUR(DP16)*60)+MINUTE(DP16)),"")</f>
        <v>2</v>
      </c>
      <c r="DW16" s="1" t="s">
        <v>33</v>
      </c>
      <c r="DX16" s="18" t="str">
        <f aca="false">IF(AND(LEN(DU16)&lt;&gt;0,LEN(DV16)&lt;&gt;0),((HOUR(DV16)*60)+MINUTE(DV16))-((HOUR(DU16)*60)+MINUTE(DU16)),"")</f>
        <v/>
      </c>
      <c r="DY16" s="20" t="s">
        <v>29</v>
      </c>
      <c r="DZ16" s="20" t="n">
        <v>0.561111111111111</v>
      </c>
      <c r="EA16" s="20" t="n">
        <v>0.590277777777778</v>
      </c>
      <c r="EB16" s="1" t="str">
        <f aca="false">"[""" &amp; DY16 &amp; """, """ &amp; IF(DZ16="","",TEXT(DZ16,"h:mm")) &amp; """, """ &amp; IF(EA16="","",TEXT(EA16,"h:mm")) &amp; """],"</f>
        <v>["別府", "13:28", "14:10"],</v>
      </c>
      <c r="EC16" s="18" t="n">
        <f aca="false">IF(AND(LEN(DZ16)&lt;&gt;0,LEN(EA16)&lt;&gt;0),((HOUR(EA16)*60)+MINUTE(EA16))-((HOUR(DZ16)*60)+MINUTE(DZ16)),"")</f>
        <v>42</v>
      </c>
      <c r="ED16" s="20" t="s">
        <v>29</v>
      </c>
      <c r="EE16" s="20" t="n">
        <v>0.561111111111111</v>
      </c>
      <c r="EF16" s="20" t="n">
        <v>0.590277777777778</v>
      </c>
      <c r="EG16" s="1" t="str">
        <f aca="false">"[""" &amp; ED16 &amp; """, """ &amp; IF(EE16="","",TEXT(EE16,"h:mm")) &amp; """, """ &amp; IF(EF16="","",TEXT(EF16,"h:mm")) &amp; """],"</f>
        <v>["別府", "13:28", "14:10"],</v>
      </c>
      <c r="EH16" s="18" t="n">
        <f aca="false">IF(AND(LEN(EE16)&lt;&gt;0,LEN(EF16)&lt;&gt;0),((HOUR(EF16)*60)+MINUTE(EF16))-((HOUR(EE16)*60)+MINUTE(EE16)),"")</f>
        <v>42</v>
      </c>
      <c r="EI16" s="20" t="s">
        <v>29</v>
      </c>
      <c r="EJ16" s="20" t="n">
        <v>0.561111111111111</v>
      </c>
      <c r="EK16" s="20" t="n">
        <v>0.590277777777778</v>
      </c>
      <c r="EL16" s="1" t="str">
        <f aca="false">"[""" &amp; EI16 &amp; """, """ &amp; IF(EJ16="","",TEXT(EJ16,"h:mm")) &amp; """, """ &amp; IF(EK16="","",TEXT(EK16,"h:mm")) &amp; """],"</f>
        <v>["別府", "13:28", "14:10"],</v>
      </c>
      <c r="EM16" s="18" t="n">
        <f aca="false">IF(AND(LEN(EJ16)&lt;&gt;0,LEN(EK16)&lt;&gt;0),((HOUR(EK16)*60)+MINUTE(EK16))-((HOUR(EJ16)*60)+MINUTE(EJ16)),"")</f>
        <v>42</v>
      </c>
      <c r="EN16" s="20" t="s">
        <v>29</v>
      </c>
      <c r="EO16" s="20" t="n">
        <v>0.561111111111111</v>
      </c>
      <c r="EP16" s="20" t="n">
        <v>0.590277777777778</v>
      </c>
      <c r="EQ16" s="1" t="str">
        <f aca="false">"[""" &amp; EN16 &amp; """, """ &amp; IF(EO16="","",TEXT(EO16,"h:mm")) &amp; """, """ &amp; IF(EP16="","",TEXT(EP16,"h:mm")) &amp; """],"</f>
        <v>["別府", "13:28", "14:10"],</v>
      </c>
      <c r="ER16" s="18" t="n">
        <f aca="false">IF(AND(LEN(EO16)&lt;&gt;0,LEN(EP16)&lt;&gt;0),((HOUR(EP16)*60)+MINUTE(EP16))-((HOUR(EO16)*60)+MINUTE(EO16)),"")</f>
        <v>42</v>
      </c>
    </row>
    <row r="17" customFormat="false" ht="18" hidden="false" customHeight="false" outlineLevel="0" collapsed="false">
      <c r="E17" s="18"/>
      <c r="J17" s="18"/>
      <c r="O17" s="18"/>
      <c r="T17" s="18"/>
      <c r="Y17" s="18"/>
      <c r="AD17" s="18"/>
      <c r="AI17" s="18"/>
      <c r="AN17" s="18"/>
      <c r="AS17" s="18" t="str">
        <f aca="false">IF(AND(LEN(AP17)&lt;&gt;0,LEN(AQ17)&lt;&gt;0),((HOUR(AQ17)*60)+MINUTE(AQ17))-((HOUR(AP17)*60)+MINUTE(AP17)),"")</f>
        <v/>
      </c>
      <c r="AX17" s="18" t="str">
        <f aca="false">IF(AND(LEN(AU17)&lt;&gt;0,LEN(AV17)&lt;&gt;0),((HOUR(AV17)*60)+MINUTE(AV17))-((HOUR(AU17)*60)+MINUTE(AU17)),"")</f>
        <v/>
      </c>
      <c r="AY17" s="26"/>
      <c r="BD17" s="18" t="str">
        <f aca="false">IF(AND(LEN(BA17)&lt;&gt;0,LEN(BB17)&lt;&gt;0),((HOUR(BB17)*60)+MINUTE(BB17))-((HOUR(BA17)*60)+MINUTE(BA17)),"")</f>
        <v/>
      </c>
      <c r="BI17" s="18" t="str">
        <f aca="false">IF(AND(LEN(BF17)&lt;&gt;0,LEN(BG17)&lt;&gt;0),((HOUR(BG17)*60)+MINUTE(BG17))-((HOUR(BF17)*60)+MINUTE(BF17)),"")</f>
        <v/>
      </c>
      <c r="BN17" s="18" t="str">
        <f aca="false">IF(AND(LEN(BK17)&lt;&gt;0,LEN(BL17)&lt;&gt;0),((HOUR(BL17)*60)+MINUTE(BL17))-((HOUR(BK17)*60)+MINUTE(BK17)),"")</f>
        <v/>
      </c>
      <c r="BS17" s="18" t="str">
        <f aca="false">IF(AND(LEN(BP17)&lt;&gt;0,LEN(BQ17)&lt;&gt;0),((HOUR(BQ17)*60)+MINUTE(BQ17))-((HOUR(BP17)*60)+MINUTE(BP17)),"")</f>
        <v/>
      </c>
      <c r="BX17" s="18" t="str">
        <f aca="false">IF(AND(LEN(BU17)&lt;&gt;0,LEN(BV17)&lt;&gt;0),((HOUR(BV17)*60)+MINUTE(BV17))-((HOUR(BU17)*60)+MINUTE(BU17)),"")</f>
        <v/>
      </c>
      <c r="BZ17" s="27"/>
      <c r="CA17" s="27"/>
      <c r="CB17" s="27"/>
      <c r="CD17" s="18" t="str">
        <f aca="false">IF(AND(LEN(CA17)&lt;&gt;0,LEN(CB17)&lt;&gt;0),((HOUR(CB17)*60)+MINUTE(CB17))-((HOUR(CA17)*60)+MINUTE(CA17)),"")</f>
        <v/>
      </c>
      <c r="CI17" s="18" t="str">
        <f aca="false">IF(AND(LEN(CF17)&lt;&gt;0,LEN(CG17)&lt;&gt;0),((HOUR(CG17)*60)+MINUTE(CG17))-((HOUR(CF17)*60)+MINUTE(CF17)),"")</f>
        <v/>
      </c>
      <c r="CJ17" s="19" t="s">
        <v>30</v>
      </c>
      <c r="CK17" s="19" t="n">
        <v>0.560416666666667</v>
      </c>
      <c r="CL17" s="19" t="n">
        <v>0.583333333333333</v>
      </c>
      <c r="CM17" s="1" t="str">
        <f aca="false">"[""" &amp; CJ17 &amp; """, """ &amp; IF(CK17="","",TEXT(CK17,"h:mm")) &amp; """, """ &amp; IF(CL17="","",TEXT(CL17,"h:mm")) &amp; """],"</f>
        <v>["菱浦", "13:27", "14:00"],</v>
      </c>
      <c r="CN17" s="18" t="n">
        <f aca="false">IF(AND(LEN(CK17)&lt;&gt;0,LEN(CL17)&lt;&gt;0),((HOUR(CL17)*60)+MINUTE(CL17))-((HOUR(CK17)*60)+MINUTE(CK17)),"")</f>
        <v>33</v>
      </c>
      <c r="CO17" s="19" t="s">
        <v>30</v>
      </c>
      <c r="CP17" s="19" t="n">
        <v>0.563888888888889</v>
      </c>
      <c r="CQ17" s="19" t="n">
        <v>0.583333333333333</v>
      </c>
      <c r="CR17" s="1" t="str">
        <f aca="false">"[""" &amp; CO17 &amp; """, """ &amp; IF(CP17="","",TEXT(CP17,"h:mm")) &amp; """, """ &amp; IF(CQ17="","",TEXT(CQ17,"h:mm")) &amp; """],"</f>
        <v>["菱浦", "13:32", "14:00"],</v>
      </c>
      <c r="CS17" s="18" t="n">
        <f aca="false">IF(AND(LEN(CP17)&lt;&gt;0,LEN(CQ17)&lt;&gt;0),((HOUR(CQ17)*60)+MINUTE(CQ17))-((HOUR(CP17)*60)+MINUTE(CP17)),"")</f>
        <v>28</v>
      </c>
      <c r="CT17" s="28"/>
      <c r="CU17" s="21" t="s">
        <v>31</v>
      </c>
      <c r="CV17" s="22" t="n">
        <v>0.585416666666667</v>
      </c>
      <c r="CW17" s="22" t="n">
        <v>0.625</v>
      </c>
      <c r="CX17" s="1" t="str">
        <f aca="false">"[""" &amp; CU17 &amp; """, """ &amp; IF(CV17="","",TEXT(CV17,"h:mm")) &amp; """, """ &amp; IF(CW17="","",TEXT(CW17,"h:mm")) &amp; """],"</f>
        <v>["来居", "14:03", "15:00"],</v>
      </c>
      <c r="CY17" s="18" t="n">
        <f aca="false">IF(AND(LEN(CV17)&lt;&gt;0,LEN(CW17)&lt;&gt;0),((HOUR(CW17)*60)+MINUTE(CW17))-((HOUR(CV17)*60)+MINUTE(CV17)),"")</f>
        <v>57</v>
      </c>
      <c r="CZ17" s="19" t="s">
        <v>30</v>
      </c>
      <c r="DA17" s="19" t="n">
        <v>0.450694444444444</v>
      </c>
      <c r="DB17" s="19" t="n">
        <v>0.452083333333333</v>
      </c>
      <c r="DC17" s="1" t="str">
        <f aca="false">"[""" &amp; CZ17 &amp; """, """ &amp; IF(DA17="","",TEXT(DA17,"h:mm")) &amp; """, """ &amp; IF(DB17="","",TEXT(DB17,"h:mm")) &amp; """],"</f>
        <v>["菱浦", "10:49", "10:51"],</v>
      </c>
      <c r="DD17" s="18" t="n">
        <f aca="false">IF(AND(LEN(DA17)&lt;&gt;0,LEN(DB17)&lt;&gt;0),((HOUR(DB17)*60)+MINUTE(DB17))-((HOUR(DA17)*60)+MINUTE(DA17)),"")</f>
        <v>2</v>
      </c>
      <c r="DE17" s="19" t="s">
        <v>30</v>
      </c>
      <c r="DF17" s="19" t="n">
        <v>0.450694444444444</v>
      </c>
      <c r="DG17" s="19" t="n">
        <v>0.452083333333333</v>
      </c>
      <c r="DH17" s="1" t="str">
        <f aca="false">"[""" &amp; DE17 &amp; """, """ &amp; IF(DF17="","",TEXT(DF17,"h:mm")) &amp; """, """ &amp; IF(DG17="","",TEXT(DG17,"h:mm")) &amp; """],"</f>
        <v>["菱浦", "10:49", "10:51"],</v>
      </c>
      <c r="DI17" s="18" t="n">
        <f aca="false">IF(AND(LEN(DF17)&lt;&gt;0,LEN(DG17)&lt;&gt;0),((HOUR(DG17)*60)+MINUTE(DG17))-((HOUR(DF17)*60)+MINUTE(DF17)),"")</f>
        <v>2</v>
      </c>
      <c r="DJ17" s="19" t="s">
        <v>30</v>
      </c>
      <c r="DK17" s="19" t="n">
        <v>0.450694444444444</v>
      </c>
      <c r="DL17" s="19" t="n">
        <v>0.452083333333333</v>
      </c>
      <c r="DM17" s="1" t="str">
        <f aca="false">"[""" &amp; DJ17 &amp; """, """ &amp; IF(DK17="","",TEXT(DK17,"h:mm")) &amp; """, """ &amp; IF(DL17="","",TEXT(DL17,"h:mm")) &amp; """],"</f>
        <v>["菱浦", "10:49", "10:51"],</v>
      </c>
      <c r="DN17" s="18" t="n">
        <f aca="false">IF(AND(LEN(DK17)&lt;&gt;0,LEN(DL17)&lt;&gt;0),((HOUR(DL17)*60)+MINUTE(DL17))-((HOUR(DK17)*60)+MINUTE(DK17)),"")</f>
        <v>2</v>
      </c>
      <c r="DO17" s="19" t="s">
        <v>30</v>
      </c>
      <c r="DP17" s="19" t="n">
        <v>0.450694444444444</v>
      </c>
      <c r="DQ17" s="19" t="n">
        <v>0.452083333333333</v>
      </c>
      <c r="DR17" s="1" t="str">
        <f aca="false">"[""" &amp; DO17 &amp; """, """ &amp; IF(DP17="","",TEXT(DP17,"h:mm")) &amp; """, """ &amp; IF(DQ17="","",TEXT(DQ17,"h:mm")) &amp; """],"</f>
        <v>["菱浦", "10:49", "10:51"],</v>
      </c>
      <c r="DS17" s="18" t="n">
        <f aca="false">IF(AND(LEN(DP17)&lt;&gt;0,LEN(DQ17)&lt;&gt;0),((HOUR(DQ17)*60)+MINUTE(DQ17))-((HOUR(DP17)*60)+MINUTE(DP17)),"")</f>
        <v>2</v>
      </c>
      <c r="DX17" s="18"/>
      <c r="DY17" s="19" t="s">
        <v>30</v>
      </c>
      <c r="DZ17" s="19" t="n">
        <v>0.595138888888889</v>
      </c>
      <c r="EA17" s="19" t="n">
        <v>0.600694444444444</v>
      </c>
      <c r="EB17" s="1" t="str">
        <f aca="false">"[""" &amp; DY17 &amp; """, """ &amp; IF(DZ17="","",TEXT(DZ17,"h:mm")) &amp; """, """ &amp; IF(EA17="","",TEXT(EA17,"h:mm")) &amp; """],"</f>
        <v>["菱浦", "14:17", "14:25"],</v>
      </c>
      <c r="EC17" s="18" t="n">
        <f aca="false">IF(AND(LEN(DZ17)&lt;&gt;0,LEN(EA17)&lt;&gt;0),((HOUR(EA17)*60)+MINUTE(EA17))-((HOUR(DZ17)*60)+MINUTE(DZ17)),"")</f>
        <v>8</v>
      </c>
      <c r="ED17" s="19" t="s">
        <v>30</v>
      </c>
      <c r="EE17" s="19" t="n">
        <v>0.595138888888889</v>
      </c>
      <c r="EF17" s="19" t="n">
        <v>0.596527777777778</v>
      </c>
      <c r="EG17" s="1" t="str">
        <f aca="false">"[""" &amp; ED17 &amp; """, """ &amp; IF(EE17="","",TEXT(EE17,"h:mm")) &amp; """, """ &amp; IF(EF17="","",TEXT(EF17,"h:mm")) &amp; """],"</f>
        <v>["菱浦", "14:17", "14:19"],</v>
      </c>
      <c r="EH17" s="18" t="n">
        <f aca="false">IF(AND(LEN(EE17)&lt;&gt;0,LEN(EF17)&lt;&gt;0),((HOUR(EF17)*60)+MINUTE(EF17))-((HOUR(EE17)*60)+MINUTE(EE17)),"")</f>
        <v>2</v>
      </c>
      <c r="EI17" s="19" t="s">
        <v>30</v>
      </c>
      <c r="EJ17" s="19" t="n">
        <v>0.595138888888889</v>
      </c>
      <c r="EK17" s="19" t="n">
        <v>0.600694444444444</v>
      </c>
      <c r="EL17" s="1" t="str">
        <f aca="false">"[""" &amp; EI17 &amp; """, """ &amp; IF(EJ17="","",TEXT(EJ17,"h:mm")) &amp; """, """ &amp; IF(EK17="","",TEXT(EK17,"h:mm")) &amp; """],"</f>
        <v>["菱浦", "14:17", "14:25"],</v>
      </c>
      <c r="EM17" s="18" t="n">
        <f aca="false">IF(AND(LEN(EJ17)&lt;&gt;0,LEN(EK17)&lt;&gt;0),((HOUR(EK17)*60)+MINUTE(EK17))-((HOUR(EJ17)*60)+MINUTE(EJ17)),"")</f>
        <v>8</v>
      </c>
      <c r="EN17" s="19" t="s">
        <v>30</v>
      </c>
      <c r="EO17" s="19" t="n">
        <v>0.595138888888889</v>
      </c>
      <c r="EP17" s="19" t="n">
        <v>0.596527777777778</v>
      </c>
      <c r="EQ17" s="1" t="str">
        <f aca="false">"[""" &amp; EN17 &amp; """, """ &amp; IF(EO17="","",TEXT(EO17,"h:mm")) &amp; """, """ &amp; IF(EP17="","",TEXT(EP17,"h:mm")) &amp; """],"</f>
        <v>["菱浦", "14:17", "14:19"],</v>
      </c>
      <c r="ER17" s="18" t="n">
        <f aca="false">IF(AND(LEN(EO17)&lt;&gt;0,LEN(EP17)&lt;&gt;0),((HOUR(EP17)*60)+MINUTE(EP17))-((HOUR(EO17)*60)+MINUTE(EO17)),"")</f>
        <v>2</v>
      </c>
    </row>
    <row r="18" customFormat="false" ht="18" hidden="false" customHeight="false" outlineLevel="0" collapsed="false">
      <c r="E18" s="18"/>
      <c r="J18" s="18"/>
      <c r="O18" s="18"/>
      <c r="T18" s="18"/>
      <c r="Y18" s="18"/>
      <c r="AD18" s="18"/>
      <c r="AI18" s="18"/>
      <c r="AN18" s="18"/>
      <c r="AS18" s="18" t="str">
        <f aca="false">IF(AND(LEN(AP18)&lt;&gt;0,LEN(AQ18)&lt;&gt;0),((HOUR(AQ18)*60)+MINUTE(AQ18))-((HOUR(AP18)*60)+MINUTE(AP18)),"")</f>
        <v/>
      </c>
      <c r="AX18" s="18" t="str">
        <f aca="false">IF(AND(LEN(AU18)&lt;&gt;0,LEN(AV18)&lt;&gt;0),((HOUR(AV18)*60)+MINUTE(AV18))-((HOUR(AU18)*60)+MINUTE(AU18)),"")</f>
        <v/>
      </c>
      <c r="AY18" s="26"/>
      <c r="BD18" s="18" t="str">
        <f aca="false">IF(AND(LEN(BA18)&lt;&gt;0,LEN(BB18)&lt;&gt;0),((HOUR(BB18)*60)+MINUTE(BB18))-((HOUR(BA18)*60)+MINUTE(BA18)),"")</f>
        <v/>
      </c>
      <c r="BI18" s="18" t="str">
        <f aca="false">IF(AND(LEN(BF18)&lt;&gt;0,LEN(BG18)&lt;&gt;0),((HOUR(BG18)*60)+MINUTE(BG18))-((HOUR(BF18)*60)+MINUTE(BF18)),"")</f>
        <v/>
      </c>
      <c r="BN18" s="18" t="str">
        <f aca="false">IF(AND(LEN(BK18)&lt;&gt;0,LEN(BL18)&lt;&gt;0),((HOUR(BL18)*60)+MINUTE(BL18))-((HOUR(BK18)*60)+MINUTE(BK18)),"")</f>
        <v/>
      </c>
      <c r="BS18" s="18" t="str">
        <f aca="false">IF(AND(LEN(BP18)&lt;&gt;0,LEN(BQ18)&lt;&gt;0),((HOUR(BQ18)*60)+MINUTE(BQ18))-((HOUR(BP18)*60)+MINUTE(BP18)),"")</f>
        <v/>
      </c>
      <c r="BX18" s="18" t="str">
        <f aca="false">IF(AND(LEN(BU18)&lt;&gt;0,LEN(BV18)&lt;&gt;0),((HOUR(BV18)*60)+MINUTE(BV18))-((HOUR(BU18)*60)+MINUTE(BU18)),"")</f>
        <v/>
      </c>
      <c r="BZ18" s="27"/>
      <c r="CA18" s="27"/>
      <c r="CB18" s="27"/>
      <c r="CD18" s="18" t="str">
        <f aca="false">IF(AND(LEN(CA18)&lt;&gt;0,LEN(CB18)&lt;&gt;0),((HOUR(CB18)*60)+MINUTE(CB18))-((HOUR(CA18)*60)+MINUTE(CA18)),"")</f>
        <v/>
      </c>
      <c r="CI18" s="18" t="str">
        <f aca="false">IF(AND(LEN(CF18)&lt;&gt;0,LEN(CG18)&lt;&gt;0),((HOUR(CG18)*60)+MINUTE(CG18))-((HOUR(CF18)*60)+MINUTE(CF18)),"")</f>
        <v/>
      </c>
      <c r="CJ18" s="20" t="s">
        <v>29</v>
      </c>
      <c r="CK18" s="20" t="n">
        <v>0.59375</v>
      </c>
      <c r="CL18" s="20" t="n">
        <v>0.597222222222222</v>
      </c>
      <c r="CM18" s="1" t="str">
        <f aca="false">"[""" &amp; CJ18 &amp; """, """ &amp; IF(CK18="","",TEXT(CK18,"h:mm")) &amp; """, """ &amp; IF(CL18="","",TEXT(CL18,"h:mm")) &amp; """],"</f>
        <v>["別府", "14:15", "14:20"],</v>
      </c>
      <c r="CN18" s="18" t="n">
        <f aca="false">IF(AND(LEN(CK18)&lt;&gt;0,LEN(CL18)&lt;&gt;0),((HOUR(CL18)*60)+MINUTE(CL18))-((HOUR(CK18)*60)+MINUTE(CK18)),"")</f>
        <v>5</v>
      </c>
      <c r="CO18" s="20" t="s">
        <v>29</v>
      </c>
      <c r="CP18" s="20" t="n">
        <v>0.59375</v>
      </c>
      <c r="CQ18" s="20" t="n">
        <v>0.611111111111111</v>
      </c>
      <c r="CR18" s="1" t="str">
        <f aca="false">"[""" &amp; CO18 &amp; """, """ &amp; IF(CP18="","",TEXT(CP18,"h:mm")) &amp; """, """ &amp; IF(CQ18="","",TEXT(CQ18,"h:mm")) &amp; """],"</f>
        <v>["別府", "14:15", "14:40"],</v>
      </c>
      <c r="CS18" s="18" t="n">
        <f aca="false">IF(AND(LEN(CP18)&lt;&gt;0,LEN(CQ18)&lt;&gt;0),((HOUR(CQ18)*60)+MINUTE(CQ18))-((HOUR(CP18)*60)+MINUTE(CP18)),"")</f>
        <v>25</v>
      </c>
      <c r="CT18" s="28"/>
      <c r="CU18" s="20" t="s">
        <v>29</v>
      </c>
      <c r="CV18" s="20" t="n">
        <v>0.638194444444444</v>
      </c>
      <c r="CW18" s="20" t="n">
        <v>0.71875</v>
      </c>
      <c r="CX18" s="1" t="str">
        <f aca="false">"[""" &amp; CU18 &amp; """, """ &amp; IF(CV18="","",TEXT(CV18,"h:mm")) &amp; """, """ &amp; IF(CW18="","",TEXT(CW18,"h:mm")) &amp; """],"</f>
        <v>["別府", "15:19", "17:15"],</v>
      </c>
      <c r="CY18" s="18" t="n">
        <f aca="false">IF(AND(LEN(CV18)&lt;&gt;0,LEN(CW18)&lt;&gt;0),((HOUR(CW18)*60)+MINUTE(CW18))-((HOUR(CV18)*60)+MINUTE(CV18)),"")</f>
        <v>116</v>
      </c>
      <c r="CZ18" s="20" t="s">
        <v>29</v>
      </c>
      <c r="DA18" s="20" t="n">
        <v>0.456944444444444</v>
      </c>
      <c r="DB18" s="20" t="n">
        <v>0.49375</v>
      </c>
      <c r="DC18" s="1" t="str">
        <f aca="false">"[""" &amp; CZ18 &amp; """, """ &amp; IF(DA18="","",TEXT(DA18,"h:mm")) &amp; """, """ &amp; IF(DB18="","",TEXT(DB18,"h:mm")) &amp; """],"</f>
        <v>["別府", "10:58", "11:51"],</v>
      </c>
      <c r="DD18" s="18" t="n">
        <f aca="false">IF(AND(LEN(DA18)&lt;&gt;0,LEN(DB18)&lt;&gt;0),((HOUR(DB18)*60)+MINUTE(DB18))-((HOUR(DA18)*60)+MINUTE(DA18)),"")</f>
        <v>53</v>
      </c>
      <c r="DE18" s="20" t="s">
        <v>29</v>
      </c>
      <c r="DF18" s="20" t="n">
        <v>0.456944444444444</v>
      </c>
      <c r="DG18" s="20" t="n">
        <v>0.49375</v>
      </c>
      <c r="DH18" s="1" t="str">
        <f aca="false">"[""" &amp; DE18 &amp; """, """ &amp; IF(DF18="","",TEXT(DF18,"h:mm")) &amp; """, """ &amp; IF(DG18="","",TEXT(DG18,"h:mm")) &amp; """],"</f>
        <v>["別府", "10:58", "11:51"],</v>
      </c>
      <c r="DI18" s="18" t="n">
        <f aca="false">IF(AND(LEN(DF18)&lt;&gt;0,LEN(DG18)&lt;&gt;0),((HOUR(DG18)*60)+MINUTE(DG18))-((HOUR(DF18)*60)+MINUTE(DF18)),"")</f>
        <v>53</v>
      </c>
      <c r="DJ18" s="20" t="s">
        <v>29</v>
      </c>
      <c r="DK18" s="20" t="n">
        <v>0.456944444444444</v>
      </c>
      <c r="DL18" s="20" t="n">
        <v>0.49375</v>
      </c>
      <c r="DM18" s="1" t="str">
        <f aca="false">"[""" &amp; DJ18 &amp; """, """ &amp; IF(DK18="","",TEXT(DK18,"h:mm")) &amp; """, """ &amp; IF(DL18="","",TEXT(DL18,"h:mm")) &amp; """],"</f>
        <v>["別府", "10:58", "11:51"],</v>
      </c>
      <c r="DN18" s="18" t="n">
        <f aca="false">IF(AND(LEN(DK18)&lt;&gt;0,LEN(DL18)&lt;&gt;0),((HOUR(DL18)*60)+MINUTE(DL18))-((HOUR(DK18)*60)+MINUTE(DK18)),"")</f>
        <v>53</v>
      </c>
      <c r="DO18" s="20" t="s">
        <v>29</v>
      </c>
      <c r="DP18" s="20" t="n">
        <v>0.456944444444444</v>
      </c>
      <c r="DQ18" s="20" t="n">
        <v>0.49375</v>
      </c>
      <c r="DR18" s="1" t="str">
        <f aca="false">"[""" &amp; DO18 &amp; """, """ &amp; IF(DP18="","",TEXT(DP18,"h:mm")) &amp; """, """ &amp; IF(DQ18="","",TEXT(DQ18,"h:mm")) &amp; """],"</f>
        <v>["別府", "10:58", "11:51"],</v>
      </c>
      <c r="DS18" s="18" t="n">
        <f aca="false">IF(AND(LEN(DP18)&lt;&gt;0,LEN(DQ18)&lt;&gt;0),((HOUR(DQ18)*60)+MINUTE(DQ18))-((HOUR(DP18)*60)+MINUTE(DP18)),"")</f>
        <v>53</v>
      </c>
      <c r="DX18" s="18"/>
      <c r="DY18" s="20" t="s">
        <v>29</v>
      </c>
      <c r="DZ18" s="20" t="n">
        <v>0.605555555555556</v>
      </c>
      <c r="EA18" s="20" t="n">
        <v>0.641666666666667</v>
      </c>
      <c r="EB18" s="1" t="str">
        <f aca="false">"[""" &amp; DY18 &amp; """, """ &amp; IF(DZ18="","",TEXT(DZ18,"h:mm")) &amp; """, """ &amp; IF(EA18="","",TEXT(EA18,"h:mm")) &amp; """],"</f>
        <v>["別府", "14:32", "15:24"],</v>
      </c>
      <c r="EC18" s="18" t="n">
        <f aca="false">IF(AND(LEN(DZ18)&lt;&gt;0,LEN(EA18)&lt;&gt;0),((HOUR(EA18)*60)+MINUTE(EA18))-((HOUR(DZ18)*60)+MINUTE(DZ18)),"")</f>
        <v>52</v>
      </c>
      <c r="ED18" s="20" t="s">
        <v>29</v>
      </c>
      <c r="EE18" s="20" t="n">
        <v>0.601388888888889</v>
      </c>
      <c r="EF18" s="20" t="n">
        <v>0.645833333333333</v>
      </c>
      <c r="EG18" s="1" t="str">
        <f aca="false">"[""" &amp; ED18 &amp; """, """ &amp; IF(EE18="","",TEXT(EE18,"h:mm")) &amp; """, """ &amp; IF(EF18="","",TEXT(EF18,"h:mm")) &amp; """],"</f>
        <v>["別府", "14:26", "15:30"],</v>
      </c>
      <c r="EH18" s="18" t="n">
        <f aca="false">IF(AND(LEN(EE18)&lt;&gt;0,LEN(EF18)&lt;&gt;0),((HOUR(EF18)*60)+MINUTE(EF18))-((HOUR(EE18)*60)+MINUTE(EE18)),"")</f>
        <v>64</v>
      </c>
      <c r="EI18" s="20" t="s">
        <v>29</v>
      </c>
      <c r="EJ18" s="20" t="n">
        <v>0.605555555555556</v>
      </c>
      <c r="EK18" s="20" t="n">
        <v>0.641666666666667</v>
      </c>
      <c r="EL18" s="1" t="str">
        <f aca="false">"[""" &amp; EI18 &amp; """, """ &amp; IF(EJ18="","",TEXT(EJ18,"h:mm")) &amp; """, """ &amp; IF(EK18="","",TEXT(EK18,"h:mm")) &amp; """],"</f>
        <v>["別府", "14:32", "15:24"],</v>
      </c>
      <c r="EM18" s="18" t="n">
        <f aca="false">IF(AND(LEN(EJ18)&lt;&gt;0,LEN(EK18)&lt;&gt;0),((HOUR(EK18)*60)+MINUTE(EK18))-((HOUR(EJ18)*60)+MINUTE(EJ18)),"")</f>
        <v>52</v>
      </c>
      <c r="EN18" s="20" t="s">
        <v>29</v>
      </c>
      <c r="EO18" s="20" t="n">
        <v>0.601388888888889</v>
      </c>
      <c r="EP18" s="20" t="n">
        <v>0.645833333333333</v>
      </c>
      <c r="EQ18" s="1" t="str">
        <f aca="false">"[""" &amp; EN18 &amp; """, """ &amp; IF(EO18="","",TEXT(EO18,"h:mm")) &amp; """, """ &amp; IF(EP18="","",TEXT(EP18,"h:mm")) &amp; """],"</f>
        <v>["別府", "14:26", "15:30"],</v>
      </c>
      <c r="ER18" s="18" t="n">
        <f aca="false">IF(AND(LEN(EO18)&lt;&gt;0,LEN(EP18)&lt;&gt;0),((HOUR(EP18)*60)+MINUTE(EP18))-((HOUR(EO18)*60)+MINUTE(EO18)),"")</f>
        <v>64</v>
      </c>
    </row>
    <row r="19" customFormat="false" ht="18" hidden="false" customHeight="false" outlineLevel="0" collapsed="false">
      <c r="E19" s="18"/>
      <c r="J19" s="18"/>
      <c r="O19" s="18"/>
      <c r="T19" s="18"/>
      <c r="Y19" s="18"/>
      <c r="AD19" s="18"/>
      <c r="AI19" s="18"/>
      <c r="AN19" s="18"/>
      <c r="AS19" s="18" t="str">
        <f aca="false">IF(AND(LEN(AP19)&lt;&gt;0,LEN(AQ19)&lt;&gt;0),((HOUR(AQ19)*60)+MINUTE(AQ19))-((HOUR(AP19)*60)+MINUTE(AP19)),"")</f>
        <v/>
      </c>
      <c r="AX19" s="18" t="str">
        <f aca="false">IF(AND(LEN(AU19)&lt;&gt;0,LEN(AV19)&lt;&gt;0),((HOUR(AV19)*60)+MINUTE(AV19))-((HOUR(AU19)*60)+MINUTE(AU19)),"")</f>
        <v/>
      </c>
      <c r="AY19" s="26"/>
      <c r="BD19" s="18" t="str">
        <f aca="false">IF(AND(LEN(BA19)&lt;&gt;0,LEN(BB19)&lt;&gt;0),((HOUR(BB19)*60)+MINUTE(BB19))-((HOUR(BA19)*60)+MINUTE(BA19)),"")</f>
        <v/>
      </c>
      <c r="BI19" s="18" t="str">
        <f aca="false">IF(AND(LEN(BF19)&lt;&gt;0,LEN(BG19)&lt;&gt;0),((HOUR(BG19)*60)+MINUTE(BG19))-((HOUR(BF19)*60)+MINUTE(BF19)),"")</f>
        <v/>
      </c>
      <c r="BN19" s="18" t="str">
        <f aca="false">IF(AND(LEN(BK19)&lt;&gt;0,LEN(BL19)&lt;&gt;0),((HOUR(BL19)*60)+MINUTE(BL19))-((HOUR(BK19)*60)+MINUTE(BK19)),"")</f>
        <v/>
      </c>
      <c r="BS19" s="18" t="str">
        <f aca="false">IF(AND(LEN(BP19)&lt;&gt;0,LEN(BQ19)&lt;&gt;0),((HOUR(BQ19)*60)+MINUTE(BQ19))-((HOUR(BP19)*60)+MINUTE(BP19)),"")</f>
        <v/>
      </c>
      <c r="BX19" s="18" t="str">
        <f aca="false">IF(AND(LEN(BU19)&lt;&gt;0,LEN(BV19)&lt;&gt;0),((HOUR(BV19)*60)+MINUTE(BV19))-((HOUR(BU19)*60)+MINUTE(BU19)),"")</f>
        <v/>
      </c>
      <c r="BZ19" s="27"/>
      <c r="CA19" s="27"/>
      <c r="CB19" s="27"/>
      <c r="CD19" s="18" t="str">
        <f aca="false">IF(AND(LEN(CA19)&lt;&gt;0,LEN(CB19)&lt;&gt;0),((HOUR(CB19)*60)+MINUTE(CB19))-((HOUR(CA19)*60)+MINUTE(CA19)),"")</f>
        <v/>
      </c>
      <c r="CI19" s="18" t="str">
        <f aca="false">IF(AND(LEN(CF19)&lt;&gt;0,LEN(CG19)&lt;&gt;0),((HOUR(CG19)*60)+MINUTE(CG19))-((HOUR(CF19)*60)+MINUTE(CF19)),"")</f>
        <v/>
      </c>
      <c r="CJ19" s="21" t="s">
        <v>31</v>
      </c>
      <c r="CK19" s="22" t="n">
        <v>0.61875</v>
      </c>
      <c r="CL19" s="22" t="n">
        <v>0.622916666666667</v>
      </c>
      <c r="CM19" s="1" t="str">
        <f aca="false">"[""" &amp; CJ19 &amp; """, """ &amp; IF(CK19="","",TEXT(CK19,"h:mm")) &amp; """, """ &amp; IF(CL19="","",TEXT(CL19,"h:mm")) &amp; """],"</f>
        <v>["来居", "14:51", "14:57"],</v>
      </c>
      <c r="CN19" s="18" t="n">
        <f aca="false">IF(AND(LEN(CK19)&lt;&gt;0,LEN(CL19)&lt;&gt;0),((HOUR(CL19)*60)+MINUTE(CL19))-((HOUR(CK19)*60)+MINUTE(CK19)),"")</f>
        <v>6</v>
      </c>
      <c r="CO19" s="19" t="s">
        <v>30</v>
      </c>
      <c r="CP19" s="19" t="n">
        <v>0.619444444444445</v>
      </c>
      <c r="CQ19" s="19" t="n">
        <v>0.625</v>
      </c>
      <c r="CR19" s="1" t="str">
        <f aca="false">"[""" &amp; CO19 &amp; """, """ &amp; IF(CP19="","",TEXT(CP19,"h:mm")) &amp; """, """ &amp; IF(CQ19="","",TEXT(CQ19,"h:mm")) &amp; """],"</f>
        <v>["菱浦", "14:52", "15:00"],</v>
      </c>
      <c r="CS19" s="18" t="n">
        <f aca="false">IF(AND(LEN(CP19)&lt;&gt;0,LEN(CQ19)&lt;&gt;0),((HOUR(CQ19)*60)+MINUTE(CQ19))-((HOUR(CP19)*60)+MINUTE(CP19)),"")</f>
        <v>8</v>
      </c>
      <c r="CT19" s="28"/>
      <c r="CU19" s="19" t="s">
        <v>30</v>
      </c>
      <c r="CV19" s="19" t="n">
        <v>0.724305555555556</v>
      </c>
      <c r="CW19" s="19" t="n">
        <v>0.725694444444445</v>
      </c>
      <c r="CX19" s="1" t="str">
        <f aca="false">"[""" &amp; CU19 &amp; """, """ &amp; IF(CV19="","",TEXT(CV19,"h:mm")) &amp; """, """ &amp; IF(CW19="","",TEXT(CW19,"h:mm")) &amp; """],"</f>
        <v>["菱浦", "17:23", "17:25"],</v>
      </c>
      <c r="CY19" s="18" t="n">
        <f aca="false">IF(AND(LEN(CV19)&lt;&gt;0,LEN(CW19)&lt;&gt;0),((HOUR(CW19)*60)+MINUTE(CW19))-((HOUR(CV19)*60)+MINUTE(CV19)),"")</f>
        <v>2</v>
      </c>
      <c r="CZ19" s="21" t="s">
        <v>31</v>
      </c>
      <c r="DA19" s="22" t="n">
        <v>0.505555555555556</v>
      </c>
      <c r="DB19" s="22" t="n">
        <v>0.506944444444444</v>
      </c>
      <c r="DC19" s="1" t="str">
        <f aca="false">"[""" &amp; CZ19 &amp; """, """ &amp; IF(DA19="","",TEXT(DA19,"h:mm")) &amp; """, """ &amp; IF(DB19="","",TEXT(DB19,"h:mm")) &amp; """],"</f>
        <v>["来居", "12:08", "12:10"],</v>
      </c>
      <c r="DD19" s="18" t="n">
        <f aca="false">IF(AND(LEN(DA19)&lt;&gt;0,LEN(DB19)&lt;&gt;0),((HOUR(DB19)*60)+MINUTE(DB19))-((HOUR(DA19)*60)+MINUTE(DA19)),"")</f>
        <v>2</v>
      </c>
      <c r="DE19" s="21" t="s">
        <v>31</v>
      </c>
      <c r="DF19" s="22" t="n">
        <v>0.505555555555556</v>
      </c>
      <c r="DG19" s="22" t="n">
        <v>0.506944444444444</v>
      </c>
      <c r="DH19" s="1" t="str">
        <f aca="false">"[""" &amp; DE19 &amp; """, """ &amp; IF(DF19="","",TEXT(DF19,"h:mm")) &amp; """, """ &amp; IF(DG19="","",TEXT(DG19,"h:mm")) &amp; """],"</f>
        <v>["来居", "12:08", "12:10"],</v>
      </c>
      <c r="DI19" s="18" t="n">
        <f aca="false">IF(AND(LEN(DF19)&lt;&gt;0,LEN(DG19)&lt;&gt;0),((HOUR(DG19)*60)+MINUTE(DG19))-((HOUR(DF19)*60)+MINUTE(DF19)),"")</f>
        <v>2</v>
      </c>
      <c r="DJ19" s="21" t="s">
        <v>31</v>
      </c>
      <c r="DK19" s="22" t="n">
        <v>0.505555555555556</v>
      </c>
      <c r="DL19" s="22" t="n">
        <v>0.506944444444444</v>
      </c>
      <c r="DM19" s="1" t="str">
        <f aca="false">"[""" &amp; DJ19 &amp; """, """ &amp; IF(DK19="","",TEXT(DK19,"h:mm")) &amp; """, """ &amp; IF(DL19="","",TEXT(DL19,"h:mm")) &amp; """],"</f>
        <v>["来居", "12:08", "12:10"],</v>
      </c>
      <c r="DN19" s="18" t="n">
        <f aca="false">IF(AND(LEN(DK19)&lt;&gt;0,LEN(DL19)&lt;&gt;0),((HOUR(DL19)*60)+MINUTE(DL19))-((HOUR(DK19)*60)+MINUTE(DK19)),"")</f>
        <v>2</v>
      </c>
      <c r="DO19" s="21" t="s">
        <v>31</v>
      </c>
      <c r="DP19" s="22" t="n">
        <v>0.505555555555556</v>
      </c>
      <c r="DQ19" s="22" t="n">
        <v>0.506944444444444</v>
      </c>
      <c r="DR19" s="1" t="str">
        <f aca="false">"[""" &amp; DO19 &amp; """, """ &amp; IF(DP19="","",TEXT(DP19,"h:mm")) &amp; """, """ &amp; IF(DQ19="","",TEXT(DQ19,"h:mm")) &amp; """],"</f>
        <v>["来居", "12:08", "12:10"],</v>
      </c>
      <c r="DS19" s="18" t="n">
        <f aca="false">IF(AND(LEN(DP19)&lt;&gt;0,LEN(DQ19)&lt;&gt;0),((HOUR(DQ19)*60)+MINUTE(DQ19))-((HOUR(DP19)*60)+MINUTE(DP19)),"")</f>
        <v>2</v>
      </c>
      <c r="DX19" s="18"/>
      <c r="DY19" s="19" t="s">
        <v>30</v>
      </c>
      <c r="DZ19" s="19" t="n">
        <v>0.646527777777778</v>
      </c>
      <c r="EA19" s="19" t="n">
        <v>0.652777777777778</v>
      </c>
      <c r="EB19" s="1" t="str">
        <f aca="false">"[""" &amp; DY19 &amp; """, """ &amp; IF(DZ19="","",TEXT(DZ19,"h:mm")) &amp; """, """ &amp; IF(EA19="","",TEXT(EA19,"h:mm")) &amp; """],"</f>
        <v>["菱浦", "15:31", "15:40"],</v>
      </c>
      <c r="EC19" s="18" t="n">
        <f aca="false">IF(AND(LEN(DZ19)&lt;&gt;0,LEN(EA19)&lt;&gt;0),((HOUR(EA19)*60)+MINUTE(EA19))-((HOUR(DZ19)*60)+MINUTE(DZ19)),"")</f>
        <v>9</v>
      </c>
      <c r="ED19" s="19" t="s">
        <v>30</v>
      </c>
      <c r="EE19" s="19" t="n">
        <v>0.650694444444445</v>
      </c>
      <c r="EF19" s="19" t="n">
        <v>0.652777777777778</v>
      </c>
      <c r="EG19" s="1" t="str">
        <f aca="false">"[""" &amp; ED19 &amp; """, """ &amp; IF(EE19="","",TEXT(EE19,"h:mm")) &amp; """, """ &amp; IF(EF19="","",TEXT(EF19,"h:mm")) &amp; """],"</f>
        <v>["菱浦", "15:37", "15:40"],</v>
      </c>
      <c r="EH19" s="18" t="n">
        <f aca="false">IF(AND(LEN(EE19)&lt;&gt;0,LEN(EF19)&lt;&gt;0),((HOUR(EF19)*60)+MINUTE(EF19))-((HOUR(EE19)*60)+MINUTE(EE19)),"")</f>
        <v>3</v>
      </c>
      <c r="EI19" s="19" t="s">
        <v>30</v>
      </c>
      <c r="EJ19" s="19" t="n">
        <v>0.646527777777778</v>
      </c>
      <c r="EK19" s="19" t="n">
        <v>0.652777777777778</v>
      </c>
      <c r="EL19" s="1" t="str">
        <f aca="false">"[""" &amp; EI19 &amp; """, """ &amp; IF(EJ19="","",TEXT(EJ19,"h:mm")) &amp; """, """ &amp; IF(EK19="","",TEXT(EK19,"h:mm")) &amp; """],"</f>
        <v>["菱浦", "15:31", "15:40"],</v>
      </c>
      <c r="EM19" s="18" t="n">
        <f aca="false">IF(AND(LEN(EJ19)&lt;&gt;0,LEN(EK19)&lt;&gt;0),((HOUR(EK19)*60)+MINUTE(EK19))-((HOUR(EJ19)*60)+MINUTE(EJ19)),"")</f>
        <v>9</v>
      </c>
      <c r="EN19" s="19" t="s">
        <v>30</v>
      </c>
      <c r="EO19" s="19" t="n">
        <v>0.650694444444445</v>
      </c>
      <c r="EP19" s="19" t="n">
        <v>0.652777777777778</v>
      </c>
      <c r="EQ19" s="1" t="str">
        <f aca="false">"[""" &amp; EN19 &amp; """, """ &amp; IF(EO19="","",TEXT(EO19,"h:mm")) &amp; """, """ &amp; IF(EP19="","",TEXT(EP19,"h:mm")) &amp; """],"</f>
        <v>["菱浦", "15:37", "15:40"],</v>
      </c>
      <c r="ER19" s="18" t="n">
        <f aca="false">IF(AND(LEN(EO19)&lt;&gt;0,LEN(EP19)&lt;&gt;0),((HOUR(EP19)*60)+MINUTE(EP19))-((HOUR(EO19)*60)+MINUTE(EO19)),"")</f>
        <v>3</v>
      </c>
    </row>
    <row r="20" customFormat="false" ht="18" hidden="false" customHeight="false" outlineLevel="0" collapsed="false">
      <c r="E20" s="18"/>
      <c r="J20" s="18"/>
      <c r="O20" s="18"/>
      <c r="T20" s="18"/>
      <c r="Y20" s="18"/>
      <c r="AD20" s="18"/>
      <c r="AI20" s="18"/>
      <c r="AN20" s="18"/>
      <c r="AS20" s="18" t="str">
        <f aca="false">IF(AND(LEN(AP20)&lt;&gt;0,LEN(AQ20)&lt;&gt;0),((HOUR(AQ20)*60)+MINUTE(AQ20))-((HOUR(AP20)*60)+MINUTE(AP20)),"")</f>
        <v/>
      </c>
      <c r="AX20" s="18" t="str">
        <f aca="false">IF(AND(LEN(AU20)&lt;&gt;0,LEN(AV20)&lt;&gt;0),((HOUR(AV20)*60)+MINUTE(AV20))-((HOUR(AU20)*60)+MINUTE(AU20)),"")</f>
        <v/>
      </c>
      <c r="AY20" s="26"/>
      <c r="BD20" s="18" t="str">
        <f aca="false">IF(AND(LEN(BA20)&lt;&gt;0,LEN(BB20)&lt;&gt;0),((HOUR(BB20)*60)+MINUTE(BB20))-((HOUR(BA20)*60)+MINUTE(BA20)),"")</f>
        <v/>
      </c>
      <c r="BI20" s="18" t="str">
        <f aca="false">IF(AND(LEN(BF20)&lt;&gt;0,LEN(BG20)&lt;&gt;0),((HOUR(BG20)*60)+MINUTE(BG20))-((HOUR(BF20)*60)+MINUTE(BF20)),"")</f>
        <v/>
      </c>
      <c r="BN20" s="18" t="str">
        <f aca="false">IF(AND(LEN(BK20)&lt;&gt;0,LEN(BL20)&lt;&gt;0),((HOUR(BL20)*60)+MINUTE(BL20))-((HOUR(BK20)*60)+MINUTE(BK20)),"")</f>
        <v/>
      </c>
      <c r="BS20" s="18" t="str">
        <f aca="false">IF(AND(LEN(BP20)&lt;&gt;0,LEN(BQ20)&lt;&gt;0),((HOUR(BQ20)*60)+MINUTE(BQ20))-((HOUR(BP20)*60)+MINUTE(BP20)),"")</f>
        <v/>
      </c>
      <c r="BX20" s="18" t="str">
        <f aca="false">IF(AND(LEN(BU20)&lt;&gt;0,LEN(BV20)&lt;&gt;0),((HOUR(BV20)*60)+MINUTE(BV20))-((HOUR(BU20)*60)+MINUTE(BU20)),"")</f>
        <v/>
      </c>
      <c r="BZ20" s="27"/>
      <c r="CA20" s="27"/>
      <c r="CB20" s="27"/>
      <c r="CD20" s="18" t="str">
        <f aca="false">IF(AND(LEN(CA20)&lt;&gt;0,LEN(CB20)&lt;&gt;0),((HOUR(CB20)*60)+MINUTE(CB20))-((HOUR(CA20)*60)+MINUTE(CA20)),"")</f>
        <v/>
      </c>
      <c r="CI20" s="18" t="str">
        <f aca="false">IF(AND(LEN(CF20)&lt;&gt;0,LEN(CG20)&lt;&gt;0),((HOUR(CG20)*60)+MINUTE(CG20))-((HOUR(CF20)*60)+MINUTE(CF20)),"")</f>
        <v/>
      </c>
      <c r="CJ20" s="20" t="s">
        <v>29</v>
      </c>
      <c r="CK20" s="20" t="n">
        <v>0.649305555555556</v>
      </c>
      <c r="CL20" s="20" t="n">
        <v>0.654166666666667</v>
      </c>
      <c r="CM20" s="1" t="str">
        <f aca="false">"[""" &amp; CJ20 &amp; """, """ &amp; IF(CK20="","",TEXT(CK20,"h:mm")) &amp; """, """ &amp; IF(CL20="","",TEXT(CL20,"h:mm")) &amp; """],"</f>
        <v>["別府", "15:35", "15:42"],</v>
      </c>
      <c r="CN20" s="18" t="n">
        <f aca="false">IF(AND(LEN(CK20)&lt;&gt;0,LEN(CL20)&lt;&gt;0),((HOUR(CL20)*60)+MINUTE(CL20))-((HOUR(CK20)*60)+MINUTE(CK20)),"")</f>
        <v>7</v>
      </c>
      <c r="CO20" s="20" t="s">
        <v>29</v>
      </c>
      <c r="CP20" s="20" t="n">
        <v>0.635416666666667</v>
      </c>
      <c r="CQ20" s="20" t="n">
        <v>0.638888888888889</v>
      </c>
      <c r="CR20" s="1" t="str">
        <f aca="false">"[""" &amp; CO20 &amp; """, """ &amp; IF(CP20="","",TEXT(CP20,"h:mm")) &amp; """, """ &amp; IF(CQ20="","",TEXT(CQ20,"h:mm")) &amp; """],"</f>
        <v>["別府", "15:15", "15:20"],</v>
      </c>
      <c r="CS20" s="18" t="n">
        <f aca="false">IF(AND(LEN(CP20)&lt;&gt;0,LEN(CQ20)&lt;&gt;0),((HOUR(CQ20)*60)+MINUTE(CQ20))-((HOUR(CP20)*60)+MINUTE(CP20)),"")</f>
        <v>5</v>
      </c>
      <c r="CT20" s="28"/>
      <c r="CU20" s="21" t="s">
        <v>31</v>
      </c>
      <c r="CV20" s="22" t="n">
        <v>0.739583333333333</v>
      </c>
      <c r="CW20" s="22" t="n">
        <v>0.740972222222222</v>
      </c>
      <c r="CX20" s="1" t="str">
        <f aca="false">"[""" &amp; CU20 &amp; """, """ &amp; IF(CV20="","",TEXT(CV20,"h:mm")) &amp; """, """ &amp; IF(CW20="","",TEXT(CW20,"h:mm")) &amp; """],"</f>
        <v>["来居", "17:45", "17:47"],</v>
      </c>
      <c r="CY20" s="18" t="n">
        <f aca="false">IF(AND(LEN(CV20)&lt;&gt;0,LEN(CW20)&lt;&gt;0),((HOUR(CW20)*60)+MINUTE(CW20))-((HOUR(CV20)*60)+MINUTE(CV20)),"")</f>
        <v>2</v>
      </c>
      <c r="CZ20" s="19" t="s">
        <v>30</v>
      </c>
      <c r="DA20" s="19" t="n">
        <v>0.519444444444445</v>
      </c>
      <c r="DB20" s="19" t="n">
        <v>0.520833333333333</v>
      </c>
      <c r="DC20" s="1" t="str">
        <f aca="false">"[""" &amp; CZ20 &amp; """, """ &amp; IF(DA20="","",TEXT(DA20,"h:mm")) &amp; """, """ &amp; IF(DB20="","",TEXT(DB20,"h:mm")) &amp; """],"</f>
        <v>["菱浦", "12:28", "12:30"],</v>
      </c>
      <c r="DD20" s="18" t="n">
        <f aca="false">IF(AND(LEN(DA20)&lt;&gt;0,LEN(DB20)&lt;&gt;0),((HOUR(DB20)*60)+MINUTE(DB20))-((HOUR(DA20)*60)+MINUTE(DA20)),"")</f>
        <v>2</v>
      </c>
      <c r="DE20" s="19" t="s">
        <v>30</v>
      </c>
      <c r="DF20" s="19" t="n">
        <v>0.519444444444445</v>
      </c>
      <c r="DG20" s="19" t="n">
        <v>0.520833333333333</v>
      </c>
      <c r="DH20" s="1" t="str">
        <f aca="false">"[""" &amp; DE20 &amp; """, """ &amp; IF(DF20="","",TEXT(DF20,"h:mm")) &amp; """, """ &amp; IF(DG20="","",TEXT(DG20,"h:mm")) &amp; """],"</f>
        <v>["菱浦", "12:28", "12:30"],</v>
      </c>
      <c r="DI20" s="18" t="n">
        <f aca="false">IF(AND(LEN(DF20)&lt;&gt;0,LEN(DG20)&lt;&gt;0),((HOUR(DG20)*60)+MINUTE(DG20))-((HOUR(DF20)*60)+MINUTE(DF20)),"")</f>
        <v>2</v>
      </c>
      <c r="DJ20" s="19" t="s">
        <v>30</v>
      </c>
      <c r="DK20" s="19" t="n">
        <v>0.519444444444445</v>
      </c>
      <c r="DL20" s="19" t="n">
        <v>0.520833333333333</v>
      </c>
      <c r="DM20" s="1" t="str">
        <f aca="false">"[""" &amp; DJ20 &amp; """, """ &amp; IF(DK20="","",TEXT(DK20,"h:mm")) &amp; """, """ &amp; IF(DL20="","",TEXT(DL20,"h:mm")) &amp; """],"</f>
        <v>["菱浦", "12:28", "12:30"],</v>
      </c>
      <c r="DN20" s="18" t="n">
        <f aca="false">IF(AND(LEN(DK20)&lt;&gt;0,LEN(DL20)&lt;&gt;0),((HOUR(DL20)*60)+MINUTE(DL20))-((HOUR(DK20)*60)+MINUTE(DK20)),"")</f>
        <v>2</v>
      </c>
      <c r="DO20" s="19" t="s">
        <v>30</v>
      </c>
      <c r="DP20" s="19" t="n">
        <v>0.519444444444445</v>
      </c>
      <c r="DQ20" s="19" t="n">
        <v>0.520833333333333</v>
      </c>
      <c r="DR20" s="1" t="str">
        <f aca="false">"[""" &amp; DO20 &amp; """, """ &amp; IF(DP20="","",TEXT(DP20,"h:mm")) &amp; """, """ &amp; IF(DQ20="","",TEXT(DQ20,"h:mm")) &amp; """],"</f>
        <v>["菱浦", "12:28", "12:30"],</v>
      </c>
      <c r="DS20" s="18" t="n">
        <f aca="false">IF(AND(LEN(DP20)&lt;&gt;0,LEN(DQ20)&lt;&gt;0),((HOUR(DQ20)*60)+MINUTE(DQ20))-((HOUR(DP20)*60)+MINUTE(DP20)),"")</f>
        <v>2</v>
      </c>
      <c r="DX20" s="18"/>
      <c r="DY20" s="20" t="s">
        <v>29</v>
      </c>
      <c r="DZ20" s="20" t="n">
        <v>0.657638888888889</v>
      </c>
      <c r="EA20" s="20" t="n">
        <v>0.694444444444445</v>
      </c>
      <c r="EB20" s="1" t="str">
        <f aca="false">"[""" &amp; DY20 &amp; """, """ &amp; IF(DZ20="","",TEXT(DZ20,"h:mm")) &amp; """, """ &amp; IF(EA20="","",TEXT(EA20,"h:mm")) &amp; """],"</f>
        <v>["別府", "15:47", "16:40"],</v>
      </c>
      <c r="EC20" s="18" t="n">
        <f aca="false">IF(AND(LEN(DZ20)&lt;&gt;0,LEN(EA20)&lt;&gt;0),((HOUR(EA20)*60)+MINUTE(EA20))-((HOUR(DZ20)*60)+MINUTE(DZ20)),"")</f>
        <v>53</v>
      </c>
      <c r="ED20" s="20" t="s">
        <v>29</v>
      </c>
      <c r="EE20" s="20" t="n">
        <v>0.657638888888889</v>
      </c>
      <c r="EF20" s="20" t="n">
        <v>0.673611111111111</v>
      </c>
      <c r="EG20" s="1" t="str">
        <f aca="false">"[""" &amp; ED20 &amp; """, """ &amp; IF(EE20="","",TEXT(EE20,"h:mm")) &amp; """, """ &amp; IF(EF20="","",TEXT(EF20,"h:mm")) &amp; """],"</f>
        <v>["別府", "15:47", "16:10"],</v>
      </c>
      <c r="EH20" s="18" t="n">
        <f aca="false">IF(AND(LEN(EE20)&lt;&gt;0,LEN(EF20)&lt;&gt;0),((HOUR(EF20)*60)+MINUTE(EF20))-((HOUR(EE20)*60)+MINUTE(EE20)),"")</f>
        <v>23</v>
      </c>
      <c r="EI20" s="20" t="s">
        <v>29</v>
      </c>
      <c r="EJ20" s="20" t="n">
        <v>0.657638888888889</v>
      </c>
      <c r="EK20" s="20" t="n">
        <v>0.694444444444445</v>
      </c>
      <c r="EL20" s="1" t="str">
        <f aca="false">"[""" &amp; EI20 &amp; """, """ &amp; IF(EJ20="","",TEXT(EJ20,"h:mm")) &amp; """, """ &amp; IF(EK20="","",TEXT(EK20,"h:mm")) &amp; """],"</f>
        <v>["別府", "15:47", "16:40"],</v>
      </c>
      <c r="EM20" s="18" t="n">
        <f aca="false">IF(AND(LEN(EJ20)&lt;&gt;0,LEN(EK20)&lt;&gt;0),((HOUR(EK20)*60)+MINUTE(EK20))-((HOUR(EJ20)*60)+MINUTE(EJ20)),"")</f>
        <v>53</v>
      </c>
      <c r="EN20" s="20" t="s">
        <v>29</v>
      </c>
      <c r="EO20" s="20" t="n">
        <v>0.657638888888889</v>
      </c>
      <c r="EP20" s="20" t="n">
        <v>0.673611111111111</v>
      </c>
      <c r="EQ20" s="1" t="str">
        <f aca="false">"[""" &amp; EN20 &amp; """, """ &amp; IF(EO20="","",TEXT(EO20,"h:mm")) &amp; """, """ &amp; IF(EP20="","",TEXT(EP20,"h:mm")) &amp; """],"</f>
        <v>["別府", "15:47", "16:10"],</v>
      </c>
      <c r="ER20" s="18" t="n">
        <f aca="false">IF(AND(LEN(EO20)&lt;&gt;0,LEN(EP20)&lt;&gt;0),((HOUR(EP20)*60)+MINUTE(EP20))-((HOUR(EO20)*60)+MINUTE(EO20)),"")</f>
        <v>23</v>
      </c>
    </row>
    <row r="21" customFormat="false" ht="18" hidden="false" customHeight="false" outlineLevel="0" collapsed="false">
      <c r="E21" s="18"/>
      <c r="J21" s="18"/>
      <c r="O21" s="18"/>
      <c r="T21" s="18"/>
      <c r="Y21" s="18"/>
      <c r="AD21" s="18"/>
      <c r="AI21" s="18"/>
      <c r="AN21" s="18"/>
      <c r="AS21" s="18" t="str">
        <f aca="false">IF(AND(LEN(AP21)&lt;&gt;0,LEN(AQ21)&lt;&gt;0),((HOUR(AQ21)*60)+MINUTE(AQ21))-((HOUR(AP21)*60)+MINUTE(AP21)),"")</f>
        <v/>
      </c>
      <c r="AX21" s="18" t="str">
        <f aca="false">IF(AND(LEN(AU21)&lt;&gt;0,LEN(AV21)&lt;&gt;0),((HOUR(AV21)*60)+MINUTE(AV21))-((HOUR(AU21)*60)+MINUTE(AU21)),"")</f>
        <v/>
      </c>
      <c r="AY21" s="26"/>
      <c r="BD21" s="18" t="str">
        <f aca="false">IF(AND(LEN(BA21)&lt;&gt;0,LEN(BB21)&lt;&gt;0),((HOUR(BB21)*60)+MINUTE(BB21))-((HOUR(BA21)*60)+MINUTE(BA21)),"")</f>
        <v/>
      </c>
      <c r="BI21" s="18" t="str">
        <f aca="false">IF(AND(LEN(BF21)&lt;&gt;0,LEN(BG21)&lt;&gt;0),((HOUR(BG21)*60)+MINUTE(BG21))-((HOUR(BF21)*60)+MINUTE(BF21)),"")</f>
        <v/>
      </c>
      <c r="BN21" s="18" t="str">
        <f aca="false">IF(AND(LEN(BK21)&lt;&gt;0,LEN(BL21)&lt;&gt;0),((HOUR(BL21)*60)+MINUTE(BL21))-((HOUR(BK21)*60)+MINUTE(BK21)),"")</f>
        <v/>
      </c>
      <c r="BS21" s="18" t="str">
        <f aca="false">IF(AND(LEN(BP21)&lt;&gt;0,LEN(BQ21)&lt;&gt;0),((HOUR(BQ21)*60)+MINUTE(BQ21))-((HOUR(BP21)*60)+MINUTE(BP21)),"")</f>
        <v/>
      </c>
      <c r="BX21" s="18" t="str">
        <f aca="false">IF(AND(LEN(BU21)&lt;&gt;0,LEN(BV21)&lt;&gt;0),((HOUR(BV21)*60)+MINUTE(BV21))-((HOUR(BU21)*60)+MINUTE(BU21)),"")</f>
        <v/>
      </c>
      <c r="BZ21" s="27"/>
      <c r="CA21" s="27"/>
      <c r="CB21" s="27"/>
      <c r="CD21" s="18" t="str">
        <f aca="false">IF(AND(LEN(CA21)&lt;&gt;0,LEN(CB21)&lt;&gt;0),((HOUR(CB21)*60)+MINUTE(CB21))-((HOUR(CA21)*60)+MINUTE(CA21)),"")</f>
        <v/>
      </c>
      <c r="CI21" s="18" t="str">
        <f aca="false">IF(AND(LEN(CF21)&lt;&gt;0,LEN(CG21)&lt;&gt;0),((HOUR(CG21)*60)+MINUTE(CG21))-((HOUR(CF21)*60)+MINUTE(CF21)),"")</f>
        <v/>
      </c>
      <c r="CJ21" s="19" t="s">
        <v>30</v>
      </c>
      <c r="CK21" s="19" t="n">
        <v>0.6625</v>
      </c>
      <c r="CL21" s="19" t="n">
        <v>0.680555555555556</v>
      </c>
      <c r="CM21" s="1" t="str">
        <f aca="false">"[""" &amp; CJ21 &amp; """, """ &amp; IF(CK21="","",TEXT(CK21,"h:mm")) &amp; """, """ &amp; IF(CL21="","",TEXT(CL21,"h:mm")) &amp; """],"</f>
        <v>["菱浦", "15:54", "16:20"],</v>
      </c>
      <c r="CN21" s="18" t="n">
        <f aca="false">IF(AND(LEN(CK21)&lt;&gt;0,LEN(CL21)&lt;&gt;0),((HOUR(CL21)*60)+MINUTE(CL21))-((HOUR(CK21)*60)+MINUTE(CK21)),"")</f>
        <v>26</v>
      </c>
      <c r="CO21" s="21" t="s">
        <v>31</v>
      </c>
      <c r="CP21" s="22" t="n">
        <v>0.660416666666667</v>
      </c>
      <c r="CQ21" s="22" t="n">
        <v>0.664583333333333</v>
      </c>
      <c r="CR21" s="1" t="str">
        <f aca="false">"[""" &amp; CO21 &amp; """, """ &amp; IF(CP21="","",TEXT(CP21,"h:mm")) &amp; """, """ &amp; IF(CQ21="","",TEXT(CQ21,"h:mm")) &amp; """],"</f>
        <v>["来居", "15:51", "15:57"],</v>
      </c>
      <c r="CS21" s="18" t="n">
        <f aca="false">IF(AND(LEN(CP21)&lt;&gt;0,LEN(CQ21)&lt;&gt;0),((HOUR(CQ21)*60)+MINUTE(CQ21))-((HOUR(CP21)*60)+MINUTE(CP21)),"")</f>
        <v>6</v>
      </c>
      <c r="CT21" s="28"/>
      <c r="CU21" s="19" t="s">
        <v>30</v>
      </c>
      <c r="CV21" s="19" t="n">
        <v>0.754861111111111</v>
      </c>
      <c r="CW21" s="19" t="n">
        <v>0.75625</v>
      </c>
      <c r="CX21" s="1" t="str">
        <f aca="false">"[""" &amp; CU21 &amp; """, """ &amp; IF(CV21="","",TEXT(CV21,"h:mm")) &amp; """, """ &amp; IF(CW21="","",TEXT(CW21,"h:mm")) &amp; """],"</f>
        <v>["菱浦", "18:07", "18:09"],</v>
      </c>
      <c r="CY21" s="18" t="n">
        <f aca="false">IF(AND(LEN(CV21)&lt;&gt;0,LEN(CW21)&lt;&gt;0),((HOUR(CW21)*60)+MINUTE(CW21))-((HOUR(CV21)*60)+MINUTE(CV21)),"")</f>
        <v>2</v>
      </c>
      <c r="CZ21" s="20" t="s">
        <v>29</v>
      </c>
      <c r="DA21" s="20" t="n">
        <v>0.525694444444445</v>
      </c>
      <c r="DB21" s="20" t="n">
        <v>0.527777777777778</v>
      </c>
      <c r="DC21" s="1" t="str">
        <f aca="false">"[""" &amp; CZ21 &amp; """, """ &amp; IF(DA21="","",TEXT(DA21,"h:mm")) &amp; """, """ &amp; IF(DB21="","",TEXT(DB21,"h:mm")) &amp; """],"</f>
        <v>["別府", "12:37", "12:40"],</v>
      </c>
      <c r="DD21" s="18" t="n">
        <f aca="false">IF(AND(LEN(DA21)&lt;&gt;0,LEN(DB21)&lt;&gt;0),((HOUR(DB21)*60)+MINUTE(DB21))-((HOUR(DA21)*60)+MINUTE(DA21)),"")</f>
        <v>3</v>
      </c>
      <c r="DE21" s="20" t="s">
        <v>29</v>
      </c>
      <c r="DF21" s="20" t="n">
        <v>0.525694444444445</v>
      </c>
      <c r="DG21" s="20" t="n">
        <v>0.527777777777778</v>
      </c>
      <c r="DH21" s="1" t="str">
        <f aca="false">"[""" &amp; DE21 &amp; """, """ &amp; IF(DF21="","",TEXT(DF21,"h:mm")) &amp; """, """ &amp; IF(DG21="","",TEXT(DG21,"h:mm")) &amp; """],"</f>
        <v>["別府", "12:37", "12:40"],</v>
      </c>
      <c r="DI21" s="18" t="n">
        <f aca="false">IF(AND(LEN(DF21)&lt;&gt;0,LEN(DG21)&lt;&gt;0),((HOUR(DG21)*60)+MINUTE(DG21))-((HOUR(DF21)*60)+MINUTE(DF21)),"")</f>
        <v>3</v>
      </c>
      <c r="DJ21" s="20" t="s">
        <v>29</v>
      </c>
      <c r="DK21" s="20" t="n">
        <v>0.525694444444445</v>
      </c>
      <c r="DL21" s="20" t="n">
        <v>0.527777777777778</v>
      </c>
      <c r="DM21" s="1" t="str">
        <f aca="false">"[""" &amp; DJ21 &amp; """, """ &amp; IF(DK21="","",TEXT(DK21,"h:mm")) &amp; """, """ &amp; IF(DL21="","",TEXT(DL21,"h:mm")) &amp; """],"</f>
        <v>["別府", "12:37", "12:40"],</v>
      </c>
      <c r="DN21" s="18" t="n">
        <f aca="false">IF(AND(LEN(DK21)&lt;&gt;0,LEN(DL21)&lt;&gt;0),((HOUR(DL21)*60)+MINUTE(DL21))-((HOUR(DK21)*60)+MINUTE(DK21)),"")</f>
        <v>3</v>
      </c>
      <c r="DO21" s="20" t="s">
        <v>29</v>
      </c>
      <c r="DP21" s="20" t="n">
        <v>0.525694444444445</v>
      </c>
      <c r="DQ21" s="20" t="n">
        <v>0.527777777777778</v>
      </c>
      <c r="DR21" s="1" t="str">
        <f aca="false">"[""" &amp; DO21 &amp; """, """ &amp; IF(DP21="","",TEXT(DP21,"h:mm")) &amp; """, """ &amp; IF(DQ21="","",TEXT(DQ21,"h:mm")) &amp; """],"</f>
        <v>["別府", "12:37", "12:40"],</v>
      </c>
      <c r="DS21" s="18" t="n">
        <f aca="false">IF(AND(LEN(DP21)&lt;&gt;0,LEN(DQ21)&lt;&gt;0),((HOUR(DQ21)*60)+MINUTE(DQ21))-((HOUR(DP21)*60)+MINUTE(DP21)),"")</f>
        <v>3</v>
      </c>
      <c r="DX21" s="18"/>
      <c r="DY21" s="19" t="s">
        <v>30</v>
      </c>
      <c r="DZ21" s="19" t="n">
        <v>0.699305555555556</v>
      </c>
      <c r="EA21" s="19" t="n">
        <v>0.700694444444444</v>
      </c>
      <c r="EB21" s="1" t="str">
        <f aca="false">"[""" &amp; DY21 &amp; """, """ &amp; IF(DZ21="","",TEXT(DZ21,"h:mm")) &amp; """, """ &amp; IF(EA21="","",TEXT(EA21,"h:mm")) &amp; """],"</f>
        <v>["菱浦", "16:47", "16:49"],</v>
      </c>
      <c r="EC21" s="18" t="n">
        <f aca="false">IF(AND(LEN(DZ21)&lt;&gt;0,LEN(EA21)&lt;&gt;0),((HOUR(EA21)*60)+MINUTE(EA21))-((HOUR(DZ21)*60)+MINUTE(DZ21)),"")</f>
        <v>2</v>
      </c>
      <c r="ED21" s="19" t="s">
        <v>30</v>
      </c>
      <c r="EE21" s="19" t="n">
        <v>0.678472222222222</v>
      </c>
      <c r="EF21" s="19" t="n">
        <v>0.700694444444444</v>
      </c>
      <c r="EG21" s="1" t="str">
        <f aca="false">"[""" &amp; ED21 &amp; """, """ &amp; IF(EE21="","",TEXT(EE21,"h:mm")) &amp; """, """ &amp; IF(EF21="","",TEXT(EF21,"h:mm")) &amp; """],"</f>
        <v>["菱浦", "16:17", "16:49"],</v>
      </c>
      <c r="EH21" s="18" t="n">
        <f aca="false">IF(AND(LEN(EE21)&lt;&gt;0,LEN(EF21)&lt;&gt;0),((HOUR(EF21)*60)+MINUTE(EF21))-((HOUR(EE21)*60)+MINUTE(EE21)),"")</f>
        <v>32</v>
      </c>
      <c r="EI21" s="19" t="s">
        <v>30</v>
      </c>
      <c r="EJ21" s="19" t="n">
        <v>0.699305555555556</v>
      </c>
      <c r="EK21" s="19" t="n">
        <v>0.700694444444444</v>
      </c>
      <c r="EL21" s="1" t="str">
        <f aca="false">"[""" &amp; EI21 &amp; """, """ &amp; IF(EJ21="","",TEXT(EJ21,"h:mm")) &amp; """, """ &amp; IF(EK21="","",TEXT(EK21,"h:mm")) &amp; """],"</f>
        <v>["菱浦", "16:47", "16:49"],</v>
      </c>
      <c r="EM21" s="18" t="n">
        <f aca="false">IF(AND(LEN(EJ21)&lt;&gt;0,LEN(EK21)&lt;&gt;0),((HOUR(EK21)*60)+MINUTE(EK21))-((HOUR(EJ21)*60)+MINUTE(EJ21)),"")</f>
        <v>2</v>
      </c>
      <c r="EN21" s="19" t="s">
        <v>30</v>
      </c>
      <c r="EO21" s="19" t="n">
        <v>0.678472222222222</v>
      </c>
      <c r="EP21" s="19" t="n">
        <v>0.700694444444444</v>
      </c>
      <c r="EQ21" s="1" t="str">
        <f aca="false">"[""" &amp; EN21 &amp; """, """ &amp; IF(EO21="","",TEXT(EO21,"h:mm")) &amp; """, """ &amp; IF(EP21="","",TEXT(EP21,"h:mm")) &amp; """],"</f>
        <v>["菱浦", "16:17", "16:49"],</v>
      </c>
      <c r="ER21" s="18" t="n">
        <f aca="false">IF(AND(LEN(EO21)&lt;&gt;0,LEN(EP21)&lt;&gt;0),((HOUR(EP21)*60)+MINUTE(EP21))-((HOUR(EO21)*60)+MINUTE(EO21)),"")</f>
        <v>32</v>
      </c>
    </row>
    <row r="22" customFormat="false" ht="18" hidden="false" customHeight="false" outlineLevel="0" collapsed="false">
      <c r="E22" s="18"/>
      <c r="J22" s="18"/>
      <c r="O22" s="18"/>
      <c r="T22" s="18"/>
      <c r="Y22" s="18"/>
      <c r="AD22" s="18"/>
      <c r="AI22" s="18"/>
      <c r="AN22" s="18"/>
      <c r="AS22" s="18" t="str">
        <f aca="false">IF(AND(LEN(AP22)&lt;&gt;0,LEN(AQ22)&lt;&gt;0),((HOUR(AQ22)*60)+MINUTE(AQ22))-((HOUR(AP22)*60)+MINUTE(AP22)),"")</f>
        <v/>
      </c>
      <c r="AX22" s="18" t="str">
        <f aca="false">IF(AND(LEN(AU22)&lt;&gt;0,LEN(AV22)&lt;&gt;0),((HOUR(AV22)*60)+MINUTE(AV22))-((HOUR(AU22)*60)+MINUTE(AU22)),"")</f>
        <v/>
      </c>
      <c r="AY22" s="26"/>
      <c r="BD22" s="18" t="str">
        <f aca="false">IF(AND(LEN(BA22)&lt;&gt;0,LEN(BB22)&lt;&gt;0),((HOUR(BB22)*60)+MINUTE(BB22))-((HOUR(BA22)*60)+MINUTE(BA22)),"")</f>
        <v/>
      </c>
      <c r="BI22" s="18" t="str">
        <f aca="false">IF(AND(LEN(BF22)&lt;&gt;0,LEN(BG22)&lt;&gt;0),((HOUR(BG22)*60)+MINUTE(BG22))-((HOUR(BF22)*60)+MINUTE(BF22)),"")</f>
        <v/>
      </c>
      <c r="BN22" s="18" t="str">
        <f aca="false">IF(AND(LEN(BK22)&lt;&gt;0,LEN(BL22)&lt;&gt;0),((HOUR(BL22)*60)+MINUTE(BL22))-((HOUR(BK22)*60)+MINUTE(BK22)),"")</f>
        <v/>
      </c>
      <c r="BS22" s="18" t="str">
        <f aca="false">IF(AND(LEN(BP22)&lt;&gt;0,LEN(BQ22)&lt;&gt;0),((HOUR(BQ22)*60)+MINUTE(BQ22))-((HOUR(BP22)*60)+MINUTE(BP22)),"")</f>
        <v/>
      </c>
      <c r="BX22" s="18" t="str">
        <f aca="false">IF(AND(LEN(BU22)&lt;&gt;0,LEN(BV22)&lt;&gt;0),((HOUR(BV22)*60)+MINUTE(BV22))-((HOUR(BU22)*60)+MINUTE(BU22)),"")</f>
        <v/>
      </c>
      <c r="BZ22" s="27"/>
      <c r="CA22" s="27"/>
      <c r="CB22" s="27"/>
      <c r="CD22" s="18" t="str">
        <f aca="false">IF(AND(LEN(CA22)&lt;&gt;0,LEN(CB22)&lt;&gt;0),((HOUR(CB22)*60)+MINUTE(CB22))-((HOUR(CA22)*60)+MINUTE(CA22)),"")</f>
        <v/>
      </c>
      <c r="CI22" s="18" t="str">
        <f aca="false">IF(AND(LEN(CF22)&lt;&gt;0,LEN(CG22)&lt;&gt;0),((HOUR(CG22)*60)+MINUTE(CG22))-((HOUR(CF22)*60)+MINUTE(CF22)),"")</f>
        <v/>
      </c>
      <c r="CJ22" s="20" t="s">
        <v>29</v>
      </c>
      <c r="CK22" s="20" t="n">
        <v>0.690972222222222</v>
      </c>
      <c r="CL22" s="20" t="n">
        <v>0.694444444444445</v>
      </c>
      <c r="CM22" s="1" t="str">
        <f aca="false">"[""" &amp; CJ22 &amp; """, """ &amp; IF(CK22="","",TEXT(CK22,"h:mm")) &amp; """, """ &amp; IF(CL22="","",TEXT(CL22,"h:mm")) &amp; """],"</f>
        <v>["別府", "16:35", "16:40"],</v>
      </c>
      <c r="CN22" s="18" t="n">
        <f aca="false">IF(AND(LEN(CK22)&lt;&gt;0,LEN(CL22)&lt;&gt;0),((HOUR(CL22)*60)+MINUTE(CL22))-((HOUR(CK22)*60)+MINUTE(CK22)),"")</f>
        <v>5</v>
      </c>
      <c r="CO22" s="20" t="s">
        <v>29</v>
      </c>
      <c r="CP22" s="20" t="n">
        <v>0.690972222222222</v>
      </c>
      <c r="CQ22" s="20" t="n">
        <v>0.695833333333333</v>
      </c>
      <c r="CR22" s="1" t="str">
        <f aca="false">"[""" &amp; CO22 &amp; """, """ &amp; IF(CP22="","",TEXT(CP22,"h:mm")) &amp; """, """ &amp; IF(CQ22="","",TEXT(CQ22,"h:mm")) &amp; """],"</f>
        <v>["別府", "16:35", "16:42"],</v>
      </c>
      <c r="CS22" s="18" t="n">
        <f aca="false">IF(AND(LEN(CP22)&lt;&gt;0,LEN(CQ22)&lt;&gt;0),((HOUR(CQ22)*60)+MINUTE(CQ22))-((HOUR(CP22)*60)+MINUTE(CP22)),"")</f>
        <v>7</v>
      </c>
      <c r="CT22" s="28"/>
      <c r="CU22" s="20" t="s">
        <v>29</v>
      </c>
      <c r="CV22" s="20" t="n">
        <v>0.761805555555556</v>
      </c>
      <c r="CX22" s="1" t="str">
        <f aca="false">"[""" &amp; CU22 &amp; """, """ &amp; IF(CV22="","",TEXT(CV22,"h:mm")) &amp; """, """ &amp; IF(CW22="","",TEXT(CW22,"h:mm")) &amp; """]"</f>
        <v>["別府", "18:17", ""]</v>
      </c>
      <c r="CY22" s="18" t="str">
        <f aca="false">IF(AND(LEN(CV22)&lt;&gt;0,LEN(CW22)&lt;&gt;0),((HOUR(CW22)*60)+MINUTE(CW22))-((HOUR(CV22)*60)+MINUTE(CV22)),"")</f>
        <v/>
      </c>
      <c r="CZ22" s="21" t="s">
        <v>31</v>
      </c>
      <c r="DA22" s="22" t="n">
        <v>0.539583333333333</v>
      </c>
      <c r="DB22" s="22" t="n">
        <v>0.541666666666667</v>
      </c>
      <c r="DC22" s="1" t="str">
        <f aca="false">"[""" &amp; CZ22 &amp; """, """ &amp; IF(DA22="","",TEXT(DA22,"h:mm")) &amp; """, """ &amp; IF(DB22="","",TEXT(DB22,"h:mm")) &amp; """],"</f>
        <v>["来居", "12:57", "13:00"],</v>
      </c>
      <c r="DD22" s="18" t="n">
        <f aca="false">IF(AND(LEN(DA22)&lt;&gt;0,LEN(DB22)&lt;&gt;0),((HOUR(DB22)*60)+MINUTE(DB22))-((HOUR(DA22)*60)+MINUTE(DA22)),"")</f>
        <v>3</v>
      </c>
      <c r="DE22" s="21" t="s">
        <v>31</v>
      </c>
      <c r="DF22" s="22" t="n">
        <v>0.539583333333333</v>
      </c>
      <c r="DG22" s="22" t="n">
        <v>0.541666666666667</v>
      </c>
      <c r="DH22" s="1" t="str">
        <f aca="false">"[""" &amp; DE22 &amp; """, """ &amp; IF(DF22="","",TEXT(DF22,"h:mm")) &amp; """, """ &amp; IF(DG22="","",TEXT(DG22,"h:mm")) &amp; """],"</f>
        <v>["来居", "12:57", "13:00"],</v>
      </c>
      <c r="DI22" s="18" t="n">
        <f aca="false">IF(AND(LEN(DF22)&lt;&gt;0,LEN(DG22)&lt;&gt;0),((HOUR(DG22)*60)+MINUTE(DG22))-((HOUR(DF22)*60)+MINUTE(DF22)),"")</f>
        <v>3</v>
      </c>
      <c r="DJ22" s="21" t="s">
        <v>31</v>
      </c>
      <c r="DK22" s="22" t="n">
        <v>0.539583333333333</v>
      </c>
      <c r="DL22" s="22" t="n">
        <v>0.541666666666667</v>
      </c>
      <c r="DM22" s="1" t="str">
        <f aca="false">"[""" &amp; DJ22 &amp; """, """ &amp; IF(DK22="","",TEXT(DK22,"h:mm")) &amp; """, """ &amp; IF(DL22="","",TEXT(DL22,"h:mm")) &amp; """],"</f>
        <v>["来居", "12:57", "13:00"],</v>
      </c>
      <c r="DN22" s="18" t="n">
        <f aca="false">IF(AND(LEN(DK22)&lt;&gt;0,LEN(DL22)&lt;&gt;0),((HOUR(DL22)*60)+MINUTE(DL22))-((HOUR(DK22)*60)+MINUTE(DK22)),"")</f>
        <v>3</v>
      </c>
      <c r="DO22" s="21" t="s">
        <v>31</v>
      </c>
      <c r="DP22" s="22" t="n">
        <v>0.539583333333333</v>
      </c>
      <c r="DQ22" s="22" t="n">
        <v>0.541666666666667</v>
      </c>
      <c r="DR22" s="1" t="str">
        <f aca="false">"[""" &amp; DO22 &amp; """, """ &amp; IF(DP22="","",TEXT(DP22,"h:mm")) &amp; """, """ &amp; IF(DQ22="","",TEXT(DQ22,"h:mm")) &amp; """],"</f>
        <v>["来居", "12:57", "13:00"],</v>
      </c>
      <c r="DS22" s="18" t="n">
        <f aca="false">IF(AND(LEN(DP22)&lt;&gt;0,LEN(DQ22)&lt;&gt;0),((HOUR(DQ22)*60)+MINUTE(DQ22))-((HOUR(DP22)*60)+MINUTE(DP22)),"")</f>
        <v>3</v>
      </c>
      <c r="DX22" s="18"/>
      <c r="DY22" s="20" t="s">
        <v>29</v>
      </c>
      <c r="DZ22" s="20" t="n">
        <v>0.705555555555556</v>
      </c>
      <c r="EA22" s="20" t="n">
        <v>0.722222222222222</v>
      </c>
      <c r="EB22" s="1" t="str">
        <f aca="false">"[""" &amp; DY22 &amp; """, """ &amp; IF(DZ22="","",TEXT(DZ22,"h:mm")) &amp; """, """ &amp; IF(EA22="","",TEXT(EA22,"h:mm")) &amp; """],"</f>
        <v>["別府", "16:56", "17:20"],</v>
      </c>
      <c r="EC22" s="18" t="n">
        <f aca="false">IF(AND(LEN(DZ22)&lt;&gt;0,LEN(EA22)&lt;&gt;0),((HOUR(EA22)*60)+MINUTE(EA22))-((HOUR(DZ22)*60)+MINUTE(DZ22)),"")</f>
        <v>24</v>
      </c>
      <c r="ED22" s="20" t="s">
        <v>29</v>
      </c>
      <c r="EE22" s="20" t="n">
        <v>0.705555555555556</v>
      </c>
      <c r="EF22" s="20" t="n">
        <v>0.722222222222222</v>
      </c>
      <c r="EG22" s="1" t="str">
        <f aca="false">"[""" &amp; ED22 &amp; """, """ &amp; IF(EE22="","",TEXT(EE22,"h:mm")) &amp; """, """ &amp; IF(EF22="","",TEXT(EF22,"h:mm")) &amp; """],"</f>
        <v>["別府", "16:56", "17:20"],</v>
      </c>
      <c r="EH22" s="18" t="n">
        <f aca="false">IF(AND(LEN(EE22)&lt;&gt;0,LEN(EF22)&lt;&gt;0),((HOUR(EF22)*60)+MINUTE(EF22))-((HOUR(EE22)*60)+MINUTE(EE22)),"")</f>
        <v>24</v>
      </c>
      <c r="EI22" s="20" t="s">
        <v>29</v>
      </c>
      <c r="EJ22" s="20" t="n">
        <v>0.705555555555556</v>
      </c>
      <c r="EK22" s="20" t="n">
        <v>0.722222222222222</v>
      </c>
      <c r="EL22" s="1" t="str">
        <f aca="false">"[""" &amp; EI22 &amp; """, """ &amp; IF(EJ22="","",TEXT(EJ22,"h:mm")) &amp; """, """ &amp; IF(EK22="","",TEXT(EK22,"h:mm")) &amp; """],"</f>
        <v>["別府", "16:56", "17:20"],</v>
      </c>
      <c r="EM22" s="18" t="n">
        <f aca="false">IF(AND(LEN(EJ22)&lt;&gt;0,LEN(EK22)&lt;&gt;0),((HOUR(EK22)*60)+MINUTE(EK22))-((HOUR(EJ22)*60)+MINUTE(EJ22)),"")</f>
        <v>24</v>
      </c>
      <c r="EN22" s="20" t="s">
        <v>29</v>
      </c>
      <c r="EO22" s="20" t="n">
        <v>0.705555555555556</v>
      </c>
      <c r="EP22" s="20" t="n">
        <v>0.722222222222222</v>
      </c>
      <c r="EQ22" s="1" t="str">
        <f aca="false">"[""" &amp; EN22 &amp; """, """ &amp; IF(EO22="","",TEXT(EO22,"h:mm")) &amp; """, """ &amp; IF(EP22="","",TEXT(EP22,"h:mm")) &amp; """],"</f>
        <v>["別府", "16:56", "17:20"],</v>
      </c>
      <c r="ER22" s="18" t="n">
        <f aca="false">IF(AND(LEN(EO22)&lt;&gt;0,LEN(EP22)&lt;&gt;0),((HOUR(EP22)*60)+MINUTE(EP22))-((HOUR(EO22)*60)+MINUTE(EO22)),"")</f>
        <v>24</v>
      </c>
    </row>
    <row r="23" customFormat="false" ht="18" hidden="false" customHeight="false" outlineLevel="0" collapsed="false">
      <c r="E23" s="18" t="str">
        <f aca="false">IF(AND(LEN(B23)&lt;&gt;0,LEN(C23)&lt;&gt;0),((HOUR(C23)*60)+MINUTE(C23))-((HOUR(B23)*60)+MINUTE(B23)),"")</f>
        <v/>
      </c>
      <c r="J23" s="18" t="str">
        <f aca="false">IF(AND(LEN(G23)&lt;&gt;0,LEN(H23)&lt;&gt;0),((HOUR(H23)*60)+MINUTE(H23))-((HOUR(G23)*60)+MINUTE(G23)),"")</f>
        <v/>
      </c>
      <c r="O23" s="18" t="str">
        <f aca="false">IF(AND(LEN(L23)&lt;&gt;0,LEN(M23)&lt;&gt;0),((HOUR(M23)*60)+MINUTE(M23))-((HOUR(L23)*60)+MINUTE(L23)),"")</f>
        <v/>
      </c>
      <c r="T23" s="18" t="str">
        <f aca="false">IF(AND(LEN(Q23)&lt;&gt;0,LEN(R23)&lt;&gt;0),((HOUR(R23)*60)+MINUTE(R23))-((HOUR(Q23)*60)+MINUTE(Q23)),"")</f>
        <v/>
      </c>
      <c r="Y23" s="18" t="str">
        <f aca="false">IF(AND(LEN(V23)&lt;&gt;0,LEN(W23)&lt;&gt;0),((HOUR(W23)*60)+MINUTE(W23))-((HOUR(V23)*60)+MINUTE(V23)),"")</f>
        <v/>
      </c>
      <c r="AD23" s="18" t="str">
        <f aca="false">IF(AND(LEN(AA23)&lt;&gt;0,LEN(AB23)&lt;&gt;0),((HOUR(AB23)*60)+MINUTE(AB23))-((HOUR(AA23)*60)+MINUTE(AA23)),"")</f>
        <v/>
      </c>
      <c r="AI23" s="18" t="str">
        <f aca="false">IF(AND(LEN(AF23)&lt;&gt;0,LEN(AG23)&lt;&gt;0),((HOUR(AG23)*60)+MINUTE(AG23))-((HOUR(AF23)*60)+MINUTE(AF23)),"")</f>
        <v/>
      </c>
      <c r="AN23" s="18" t="str">
        <f aca="false">IF(AND(LEN(AK23)&lt;&gt;0,LEN(AL23)&lt;&gt;0),((HOUR(AL23)*60)+MINUTE(AL23))-((HOUR(AK23)*60)+MINUTE(AK23)),"")</f>
        <v/>
      </c>
      <c r="AS23" s="18" t="str">
        <f aca="false">IF(AND(LEN(AP23)&lt;&gt;0,LEN(AQ23)&lt;&gt;0),((HOUR(AQ23)*60)+MINUTE(AQ23))-((HOUR(AP23)*60)+MINUTE(AP23)),"")</f>
        <v/>
      </c>
      <c r="AX23" s="18" t="str">
        <f aca="false">IF(AND(LEN(AU23)&lt;&gt;0,LEN(AV23)&lt;&gt;0),((HOUR(AV23)*60)+MINUTE(AV23))-((HOUR(AU23)*60)+MINUTE(AU23)),"")</f>
        <v/>
      </c>
      <c r="BD23" s="18" t="str">
        <f aca="false">IF(AND(LEN(BA23)&lt;&gt;0,LEN(BB23)&lt;&gt;0),((HOUR(BB23)*60)+MINUTE(BB23))-((HOUR(BA23)*60)+MINUTE(BA23)),"")</f>
        <v/>
      </c>
      <c r="BI23" s="18" t="str">
        <f aca="false">IF(AND(LEN(BF23)&lt;&gt;0,LEN(BG23)&lt;&gt;0),((HOUR(BG23)*60)+MINUTE(BG23))-((HOUR(BF23)*60)+MINUTE(BF23)),"")</f>
        <v/>
      </c>
      <c r="BN23" s="18" t="str">
        <f aca="false">IF(AND(LEN(BK23)&lt;&gt;0,LEN(BL23)&lt;&gt;0),((HOUR(BL23)*60)+MINUTE(BL23))-((HOUR(BK23)*60)+MINUTE(BK23)),"")</f>
        <v/>
      </c>
      <c r="BS23" s="18" t="str">
        <f aca="false">IF(AND(LEN(BP23)&lt;&gt;0,LEN(BQ23)&lt;&gt;0),((HOUR(BQ23)*60)+MINUTE(BQ23))-((HOUR(BP23)*60)+MINUTE(BP23)),"")</f>
        <v/>
      </c>
      <c r="BX23" s="18" t="str">
        <f aca="false">IF(AND(LEN(BU23)&lt;&gt;0,LEN(BV23)&lt;&gt;0),((HOUR(BV23)*60)+MINUTE(BV23))-((HOUR(BU23)*60)+MINUTE(BU23)),"")</f>
        <v/>
      </c>
      <c r="CD23" s="18" t="str">
        <f aca="false">IF(AND(LEN(CA23)&lt;&gt;0,LEN(CB23)&lt;&gt;0),((HOUR(CB23)*60)+MINUTE(CB23))-((HOUR(CA23)*60)+MINUTE(CA23)),"")</f>
        <v/>
      </c>
      <c r="CI23" s="18" t="str">
        <f aca="false">IF(AND(LEN(CF23)&lt;&gt;0,LEN(CG23)&lt;&gt;0),((HOUR(CG23)*60)+MINUTE(CG23))-((HOUR(CF23)*60)+MINUTE(CF23)),"")</f>
        <v/>
      </c>
      <c r="CJ23" s="19" t="s">
        <v>30</v>
      </c>
      <c r="CK23" s="19" t="n">
        <v>0.702777777777778</v>
      </c>
      <c r="CL23" s="19" t="n">
        <v>0.722222222222222</v>
      </c>
      <c r="CM23" s="1" t="str">
        <f aca="false">"[""" &amp; CJ23 &amp; """, """ &amp; IF(CK23="","",TEXT(CK23,"h:mm")) &amp; """, """ &amp; IF(CL23="","",TEXT(CL23,"h:mm")) &amp; """],"</f>
        <v>["菱浦", "16:52", "17:20"],</v>
      </c>
      <c r="CN23" s="18" t="n">
        <f aca="false">IF(AND(LEN(CK23)&lt;&gt;0,LEN(CL23)&lt;&gt;0),((HOUR(CL23)*60)+MINUTE(CL23))-((HOUR(CK23)*60)+MINUTE(CK23)),"")</f>
        <v>28</v>
      </c>
      <c r="CO23" s="19" t="s">
        <v>30</v>
      </c>
      <c r="CP23" s="19" t="n">
        <v>0.704166666666667</v>
      </c>
      <c r="CQ23" s="19" t="n">
        <v>0.722222222222222</v>
      </c>
      <c r="CR23" s="1" t="str">
        <f aca="false">"[""" &amp; CO23 &amp; """, """ &amp; IF(CP23="","",TEXT(CP23,"h:mm")) &amp; """, """ &amp; IF(CQ23="","",TEXT(CQ23,"h:mm")) &amp; """],"</f>
        <v>["菱浦", "16:54", "17:20"],</v>
      </c>
      <c r="CS23" s="18" t="n">
        <f aca="false">IF(AND(LEN(CP23)&lt;&gt;0,LEN(CQ23)&lt;&gt;0),((HOUR(CQ23)*60)+MINUTE(CQ23))-((HOUR(CP23)*60)+MINUTE(CP23)),"")</f>
        <v>26</v>
      </c>
      <c r="CX23" s="1" t="s">
        <v>33</v>
      </c>
      <c r="CY23" s="18" t="str">
        <f aca="false">IF(AND(LEN(CV23)&lt;&gt;0,LEN(CW23)&lt;&gt;0),((HOUR(CW23)*60)+MINUTE(CW23))-((HOUR(CV23)*60)+MINUTE(CV23)),"")</f>
        <v/>
      </c>
      <c r="CZ23" s="19" t="s">
        <v>30</v>
      </c>
      <c r="DA23" s="19" t="n">
        <v>0.554166666666667</v>
      </c>
      <c r="DB23" s="19" t="n">
        <v>0.55625</v>
      </c>
      <c r="DC23" s="1" t="str">
        <f aca="false">"[""" &amp; CZ23 &amp; """, """ &amp; IF(DA23="","",TEXT(DA23,"h:mm")) &amp; """, """ &amp; IF(DB23="","",TEXT(DB23,"h:mm")) &amp; """],"</f>
        <v>["菱浦", "13:18", "13:21"],</v>
      </c>
      <c r="DD23" s="18" t="n">
        <f aca="false">IF(AND(LEN(DA23)&lt;&gt;0,LEN(DB23)&lt;&gt;0),((HOUR(DB23)*60)+MINUTE(DB23))-((HOUR(DA23)*60)+MINUTE(DA23)),"")</f>
        <v>3</v>
      </c>
      <c r="DE23" s="19" t="s">
        <v>30</v>
      </c>
      <c r="DF23" s="19" t="n">
        <v>0.554166666666667</v>
      </c>
      <c r="DG23" s="19" t="n">
        <v>0.55625</v>
      </c>
      <c r="DH23" s="1" t="str">
        <f aca="false">"[""" &amp; DE23 &amp; """, """ &amp; IF(DF23="","",TEXT(DF23,"h:mm")) &amp; """, """ &amp; IF(DG23="","",TEXT(DG23,"h:mm")) &amp; """],"</f>
        <v>["菱浦", "13:18", "13:21"],</v>
      </c>
      <c r="DI23" s="18" t="n">
        <f aca="false">IF(AND(LEN(DF23)&lt;&gt;0,LEN(DG23)&lt;&gt;0),((HOUR(DG23)*60)+MINUTE(DG23))-((HOUR(DF23)*60)+MINUTE(DF23)),"")</f>
        <v>3</v>
      </c>
      <c r="DJ23" s="19" t="s">
        <v>30</v>
      </c>
      <c r="DK23" s="19" t="n">
        <v>0.554166666666667</v>
      </c>
      <c r="DL23" s="19" t="n">
        <v>0.55625</v>
      </c>
      <c r="DM23" s="1" t="str">
        <f aca="false">"[""" &amp; DJ23 &amp; """, """ &amp; IF(DK23="","",TEXT(DK23,"h:mm")) &amp; """, """ &amp; IF(DL23="","",TEXT(DL23,"h:mm")) &amp; """],"</f>
        <v>["菱浦", "13:18", "13:21"],</v>
      </c>
      <c r="DN23" s="18" t="n">
        <f aca="false">IF(AND(LEN(DK23)&lt;&gt;0,LEN(DL23)&lt;&gt;0),((HOUR(DL23)*60)+MINUTE(DL23))-((HOUR(DK23)*60)+MINUTE(DK23)),"")</f>
        <v>3</v>
      </c>
      <c r="DO23" s="19" t="s">
        <v>30</v>
      </c>
      <c r="DP23" s="19" t="n">
        <v>0.554166666666667</v>
      </c>
      <c r="DQ23" s="19" t="n">
        <v>0.55625</v>
      </c>
      <c r="DR23" s="1" t="str">
        <f aca="false">"[""" &amp; DO23 &amp; """, """ &amp; IF(DP23="","",TEXT(DP23,"h:mm")) &amp; """, """ &amp; IF(DQ23="","",TEXT(DQ23,"h:mm")) &amp; """],"</f>
        <v>["菱浦", "13:18", "13:21"],</v>
      </c>
      <c r="DS23" s="18" t="n">
        <f aca="false">IF(AND(LEN(DP23)&lt;&gt;0,LEN(DQ23)&lt;&gt;0),((HOUR(DQ23)*60)+MINUTE(DQ23))-((HOUR(DP23)*60)+MINUTE(DP23)),"")</f>
        <v>3</v>
      </c>
      <c r="DX23" s="18"/>
      <c r="DY23" s="19" t="s">
        <v>30</v>
      </c>
      <c r="DZ23" s="19" t="n">
        <v>0.727083333333333</v>
      </c>
      <c r="EA23" s="29" t="n">
        <v>0.75625</v>
      </c>
      <c r="EB23" s="1" t="str">
        <f aca="false">"[""" &amp; DY23 &amp; """, """ &amp; IF(DZ23="","",TEXT(DZ23,"h:mm")) &amp; """, """ &amp; IF(EA23="","",TEXT(EA23,"h:mm")) &amp; """],"</f>
        <v>["菱浦", "17:27", "18:09"],</v>
      </c>
      <c r="EC23" s="18" t="n">
        <f aca="false">IF(AND(LEN(DZ23)&lt;&gt;0,LEN(EA23)&lt;&gt;0),((HOUR(EA23)*60)+MINUTE(EA23))-((HOUR(DZ23)*60)+MINUTE(DZ23)),"")</f>
        <v>42</v>
      </c>
      <c r="ED23" s="19" t="s">
        <v>30</v>
      </c>
      <c r="EE23" s="19" t="n">
        <v>0.727083333333333</v>
      </c>
      <c r="EF23" s="29" t="n">
        <v>0.75625</v>
      </c>
      <c r="EG23" s="1" t="str">
        <f aca="false">"[""" &amp; ED23 &amp; """, """ &amp; IF(EE23="","",TEXT(EE23,"h:mm")) &amp; """, """ &amp; IF(EF23="","",TEXT(EF23,"h:mm")) &amp; """],"</f>
        <v>["菱浦", "17:27", "18:09"],</v>
      </c>
      <c r="EH23" s="18" t="n">
        <f aca="false">IF(AND(LEN(EE23)&lt;&gt;0,LEN(EF23)&lt;&gt;0),((HOUR(EF23)*60)+MINUTE(EF23))-((HOUR(EE23)*60)+MINUTE(EE23)),"")</f>
        <v>42</v>
      </c>
      <c r="EI23" s="19" t="s">
        <v>30</v>
      </c>
      <c r="EJ23" s="19" t="n">
        <v>0.727083333333333</v>
      </c>
      <c r="EK23" s="29" t="n">
        <v>0.763194444444444</v>
      </c>
      <c r="EL23" s="1" t="str">
        <f aca="false">"[""" &amp; EI23 &amp; """, """ &amp; IF(EJ23="","",TEXT(EJ23,"h:mm")) &amp; """, """ &amp; IF(EK23="","",TEXT(EK23,"h:mm")) &amp; """],"</f>
        <v>["菱浦", "17:27", "18:19"],</v>
      </c>
      <c r="EM23" s="18" t="n">
        <f aca="false">IF(AND(LEN(EJ23)&lt;&gt;0,LEN(EK23)&lt;&gt;0),((HOUR(EK23)*60)+MINUTE(EK23))-((HOUR(EJ23)*60)+MINUTE(EJ23)),"")</f>
        <v>52</v>
      </c>
      <c r="EN23" s="19" t="s">
        <v>30</v>
      </c>
      <c r="EO23" s="19" t="n">
        <v>0.727083333333333</v>
      </c>
      <c r="EP23" s="29" t="n">
        <v>0.763194444444444</v>
      </c>
      <c r="EQ23" s="1" t="str">
        <f aca="false">"[""" &amp; EN23 &amp; """, """ &amp; IF(EO23="","",TEXT(EO23,"h:mm")) &amp; """, """ &amp; IF(EP23="","",TEXT(EP23,"h:mm")) &amp; """],"</f>
        <v>["菱浦", "17:27", "18:19"],</v>
      </c>
      <c r="ER23" s="18" t="n">
        <f aca="false">IF(AND(LEN(EO23)&lt;&gt;0,LEN(EP23)&lt;&gt;0),((HOUR(EP23)*60)+MINUTE(EP23))-((HOUR(EO23)*60)+MINUTE(EO23)),"")</f>
        <v>52</v>
      </c>
    </row>
    <row r="24" customFormat="false" ht="18" hidden="false" customHeight="false" outlineLevel="0" collapsed="false">
      <c r="E24" s="18" t="str">
        <f aca="false">IF(AND(LEN(B24)&lt;&gt;0,LEN(C24)&lt;&gt;0),((HOUR(C24)*60)+MINUTE(C24))-((HOUR(B24)*60)+MINUTE(B24)),"")</f>
        <v/>
      </c>
      <c r="J24" s="18" t="str">
        <f aca="false">IF(AND(LEN(G24)&lt;&gt;0,LEN(H24)&lt;&gt;0),((HOUR(H24)*60)+MINUTE(H24))-((HOUR(G24)*60)+MINUTE(G24)),"")</f>
        <v/>
      </c>
      <c r="O24" s="18" t="str">
        <f aca="false">IF(AND(LEN(L24)&lt;&gt;0,LEN(M24)&lt;&gt;0),((HOUR(M24)*60)+MINUTE(M24))-((HOUR(L24)*60)+MINUTE(L24)),"")</f>
        <v/>
      </c>
      <c r="T24" s="18" t="str">
        <f aca="false">IF(AND(LEN(Q24)&lt;&gt;0,LEN(R24)&lt;&gt;0),((HOUR(R24)*60)+MINUTE(R24))-((HOUR(Q24)*60)+MINUTE(Q24)),"")</f>
        <v/>
      </c>
      <c r="Y24" s="18" t="str">
        <f aca="false">IF(AND(LEN(V24)&lt;&gt;0,LEN(W24)&lt;&gt;0),((HOUR(W24)*60)+MINUTE(W24))-((HOUR(V24)*60)+MINUTE(V24)),"")</f>
        <v/>
      </c>
      <c r="AD24" s="18" t="str">
        <f aca="false">IF(AND(LEN(AA24)&lt;&gt;0,LEN(AB24)&lt;&gt;0),((HOUR(AB24)*60)+MINUTE(AB24))-((HOUR(AA24)*60)+MINUTE(AA24)),"")</f>
        <v/>
      </c>
      <c r="AI24" s="18" t="str">
        <f aca="false">IF(AND(LEN(AF24)&lt;&gt;0,LEN(AG24)&lt;&gt;0),((HOUR(AG24)*60)+MINUTE(AG24))-((HOUR(AF24)*60)+MINUTE(AF24)),"")</f>
        <v/>
      </c>
      <c r="AN24" s="18" t="str">
        <f aca="false">IF(AND(LEN(AK24)&lt;&gt;0,LEN(AL24)&lt;&gt;0),((HOUR(AL24)*60)+MINUTE(AL24))-((HOUR(AK24)*60)+MINUTE(AK24)),"")</f>
        <v/>
      </c>
      <c r="AS24" s="18" t="str">
        <f aca="false">IF(AND(LEN(AP24)&lt;&gt;0,LEN(AQ24)&lt;&gt;0),((HOUR(AQ24)*60)+MINUTE(AQ24))-((HOUR(AP24)*60)+MINUTE(AP24)),"")</f>
        <v/>
      </c>
      <c r="AX24" s="18" t="str">
        <f aca="false">IF(AND(LEN(AU24)&lt;&gt;0,LEN(AV24)&lt;&gt;0),((HOUR(AV24)*60)+MINUTE(AV24))-((HOUR(AU24)*60)+MINUTE(AU24)),"")</f>
        <v/>
      </c>
      <c r="BD24" s="18" t="str">
        <f aca="false">IF(AND(LEN(BA24)&lt;&gt;0,LEN(BB24)&lt;&gt;0),((HOUR(BB24)*60)+MINUTE(BB24))-((HOUR(BA24)*60)+MINUTE(BA24)),"")</f>
        <v/>
      </c>
      <c r="BI24" s="18" t="str">
        <f aca="false">IF(AND(LEN(BF24)&lt;&gt;0,LEN(BG24)&lt;&gt;0),((HOUR(BG24)*60)+MINUTE(BG24))-((HOUR(BF24)*60)+MINUTE(BF24)),"")</f>
        <v/>
      </c>
      <c r="BN24" s="18" t="str">
        <f aca="false">IF(AND(LEN(BK24)&lt;&gt;0,LEN(BL24)&lt;&gt;0),((HOUR(BL24)*60)+MINUTE(BL24))-((HOUR(BK24)*60)+MINUTE(BK24)),"")</f>
        <v/>
      </c>
      <c r="BS24" s="18" t="str">
        <f aca="false">IF(AND(LEN(BP24)&lt;&gt;0,LEN(BQ24)&lt;&gt;0),((HOUR(BQ24)*60)+MINUTE(BQ24))-((HOUR(BP24)*60)+MINUTE(BP24)),"")</f>
        <v/>
      </c>
      <c r="BX24" s="18" t="str">
        <f aca="false">IF(AND(LEN(BU24)&lt;&gt;0,LEN(BV24)&lt;&gt;0),((HOUR(BV24)*60)+MINUTE(BV24))-((HOUR(BU24)*60)+MINUTE(BU24)),"")</f>
        <v/>
      </c>
      <c r="CD24" s="18" t="str">
        <f aca="false">IF(AND(LEN(CA24)&lt;&gt;0,LEN(CB24)&lt;&gt;0),((HOUR(CB24)*60)+MINUTE(CB24))-((HOUR(CA24)*60)+MINUTE(CA24)),"")</f>
        <v/>
      </c>
      <c r="CI24" s="18" t="str">
        <f aca="false">IF(AND(LEN(CF24)&lt;&gt;0,LEN(CG24)&lt;&gt;0),((HOUR(CG24)*60)+MINUTE(CG24))-((HOUR(CF24)*60)+MINUTE(CF24)),"")</f>
        <v/>
      </c>
      <c r="CJ24" s="20" t="s">
        <v>29</v>
      </c>
      <c r="CK24" s="20" t="n">
        <v>0.732638888888889</v>
      </c>
      <c r="CL24" s="20" t="n">
        <v>0.736111111111111</v>
      </c>
      <c r="CM24" s="1" t="str">
        <f aca="false">"[""" &amp; CJ24 &amp; """, """ &amp; IF(CK24="","",TEXT(CK24,"h:mm")) &amp; """, """ &amp; IF(CL24="","",TEXT(CL24,"h:mm")) &amp; """],"</f>
        <v>["別府", "17:35", "17:40"],</v>
      </c>
      <c r="CN24" s="18" t="n">
        <f aca="false">IF(AND(LEN(CK24)&lt;&gt;0,LEN(CL24)&lt;&gt;0),((HOUR(CL24)*60)+MINUTE(CL24))-((HOUR(CK24)*60)+MINUTE(CK24)),"")</f>
        <v>5</v>
      </c>
      <c r="CO24" s="20" t="s">
        <v>29</v>
      </c>
      <c r="CP24" s="20" t="n">
        <v>0.732638888888889</v>
      </c>
      <c r="CQ24" s="20" t="n">
        <v>0.736111111111111</v>
      </c>
      <c r="CR24" s="1" t="str">
        <f aca="false">"[""" &amp; CO24 &amp; """, """ &amp; IF(CP24="","",TEXT(CP24,"h:mm")) &amp; """, """ &amp; IF(CQ24="","",TEXT(CQ24,"h:mm")) &amp; """],"</f>
        <v>["別府", "17:35", "17:40"],</v>
      </c>
      <c r="CS24" s="18" t="n">
        <f aca="false">IF(AND(LEN(CP24)&lt;&gt;0,LEN(CQ24)&lt;&gt;0),((HOUR(CQ24)*60)+MINUTE(CQ24))-((HOUR(CP24)*60)+MINUTE(CP24)),"")</f>
        <v>5</v>
      </c>
      <c r="CZ24" s="20" t="s">
        <v>29</v>
      </c>
      <c r="DA24" s="20" t="n">
        <v>0.561111111111111</v>
      </c>
      <c r="DB24" s="20" t="n">
        <v>0.5625</v>
      </c>
      <c r="DC24" s="1" t="str">
        <f aca="false">"[""" &amp; CZ24 &amp; """, """ &amp; IF(DA24="","",TEXT(DA24,"h:mm")) &amp; """, """ &amp; IF(DB24="","",TEXT(DB24,"h:mm")) &amp; """],"</f>
        <v>["別府", "13:28", "13:30"],</v>
      </c>
      <c r="DD24" s="18" t="n">
        <f aca="false">IF(AND(LEN(DA24)&lt;&gt;0,LEN(DB24)&lt;&gt;0),((HOUR(DB24)*60)+MINUTE(DB24))-((HOUR(DA24)*60)+MINUTE(DA24)),"")</f>
        <v>2</v>
      </c>
      <c r="DE24" s="20" t="s">
        <v>29</v>
      </c>
      <c r="DF24" s="20" t="n">
        <v>0.561111111111111</v>
      </c>
      <c r="DG24" s="20" t="n">
        <v>0.5625</v>
      </c>
      <c r="DH24" s="1" t="str">
        <f aca="false">"[""" &amp; DE24 &amp; """, """ &amp; IF(DF24="","",TEXT(DF24,"h:mm")) &amp; """, """ &amp; IF(DG24="","",TEXT(DG24,"h:mm")) &amp; """],"</f>
        <v>["別府", "13:28", "13:30"],</v>
      </c>
      <c r="DI24" s="18" t="n">
        <f aca="false">IF(AND(LEN(DF24)&lt;&gt;0,LEN(DG24)&lt;&gt;0),((HOUR(DG24)*60)+MINUTE(DG24))-((HOUR(DF24)*60)+MINUTE(DF24)),"")</f>
        <v>2</v>
      </c>
      <c r="DJ24" s="20" t="s">
        <v>29</v>
      </c>
      <c r="DK24" s="20" t="n">
        <v>0.561111111111111</v>
      </c>
      <c r="DL24" s="20" t="n">
        <v>0.5625</v>
      </c>
      <c r="DM24" s="1" t="str">
        <f aca="false">"[""" &amp; DJ24 &amp; """, """ &amp; IF(DK24="","",TEXT(DK24,"h:mm")) &amp; """, """ &amp; IF(DL24="","",TEXT(DL24,"h:mm")) &amp; """],"</f>
        <v>["別府", "13:28", "13:30"],</v>
      </c>
      <c r="DN24" s="18" t="n">
        <f aca="false">IF(AND(LEN(DK24)&lt;&gt;0,LEN(DL24)&lt;&gt;0),((HOUR(DL24)*60)+MINUTE(DL24))-((HOUR(DK24)*60)+MINUTE(DK24)),"")</f>
        <v>2</v>
      </c>
      <c r="DO24" s="20" t="s">
        <v>29</v>
      </c>
      <c r="DP24" s="20" t="n">
        <v>0.561111111111111</v>
      </c>
      <c r="DQ24" s="20" t="n">
        <v>0.5625</v>
      </c>
      <c r="DR24" s="1" t="str">
        <f aca="false">"[""" &amp; DO24 &amp; """, """ &amp; IF(DP24="","",TEXT(DP24,"h:mm")) &amp; """, """ &amp; IF(DQ24="","",TEXT(DQ24,"h:mm")) &amp; """],"</f>
        <v>["別府", "13:28", "13:30"],</v>
      </c>
      <c r="DS24" s="18" t="n">
        <f aca="false">IF(AND(LEN(DP24)&lt;&gt;0,LEN(DQ24)&lt;&gt;0),((HOUR(DQ24)*60)+MINUTE(DQ24))-((HOUR(DP24)*60)+MINUTE(DP24)),"")</f>
        <v>2</v>
      </c>
      <c r="DY24" s="20" t="s">
        <v>29</v>
      </c>
      <c r="DZ24" s="30" t="n">
        <v>0.761111111111111</v>
      </c>
      <c r="EA24" s="20" t="n">
        <v>0.783333333333333</v>
      </c>
      <c r="EB24" s="1" t="str">
        <f aca="false">"[""" &amp; DY24 &amp; """, """ &amp; IF(DZ24="","",TEXT(DZ24,"h:mm")) &amp; """, """ &amp; IF(EA24="","",TEXT(EA24,"h:mm")) &amp; """],"</f>
        <v>["別府", "18:16", "18:48"],</v>
      </c>
      <c r="EC24" s="18" t="n">
        <f aca="false">IF(AND(LEN(DZ24)&lt;&gt;0,LEN(EA24)&lt;&gt;0),((HOUR(EA24)*60)+MINUTE(EA24))-((HOUR(DZ24)*60)+MINUTE(DZ24)),"")</f>
        <v>32</v>
      </c>
      <c r="ED24" s="20" t="s">
        <v>29</v>
      </c>
      <c r="EE24" s="30" t="n">
        <v>0.761111111111111</v>
      </c>
      <c r="EF24" s="20" t="n">
        <v>0.783333333333333</v>
      </c>
      <c r="EG24" s="1" t="str">
        <f aca="false">"[""" &amp; ED24 &amp; """, """ &amp; IF(EE24="","",TEXT(EE24,"h:mm")) &amp; """, """ &amp; IF(EF24="","",TEXT(EF24,"h:mm")) &amp; """],"</f>
        <v>["別府", "18:16", "18:48"],</v>
      </c>
      <c r="EH24" s="18" t="n">
        <f aca="false">IF(AND(LEN(EE24)&lt;&gt;0,LEN(EF24)&lt;&gt;0),((HOUR(EF24)*60)+MINUTE(EF24))-((HOUR(EE24)*60)+MINUTE(EE24)),"")</f>
        <v>32</v>
      </c>
      <c r="EI24" s="20" t="s">
        <v>29</v>
      </c>
      <c r="EJ24" s="30" t="n">
        <v>0.768055555555556</v>
      </c>
      <c r="EK24" s="20" t="n">
        <v>0.783333333333333</v>
      </c>
      <c r="EL24" s="1" t="str">
        <f aca="false">"[""" &amp; EI24 &amp; """, """ &amp; IF(EJ24="","",TEXT(EJ24,"h:mm")) &amp; """, """ &amp; IF(EK24="","",TEXT(EK24,"h:mm")) &amp; """],"</f>
        <v>["別府", "18:26", "18:48"],</v>
      </c>
      <c r="EM24" s="18" t="n">
        <f aca="false">IF(AND(LEN(EJ24)&lt;&gt;0,LEN(EK24)&lt;&gt;0),((HOUR(EK24)*60)+MINUTE(EK24))-((HOUR(EJ24)*60)+MINUTE(EJ24)),"")</f>
        <v>22</v>
      </c>
      <c r="EN24" s="20" t="s">
        <v>29</v>
      </c>
      <c r="EO24" s="30" t="n">
        <v>0.768055555555556</v>
      </c>
      <c r="EP24" s="20" t="n">
        <v>0.783333333333333</v>
      </c>
      <c r="EQ24" s="1" t="str">
        <f aca="false">"[""" &amp; EN24 &amp; """, """ &amp; IF(EO24="","",TEXT(EO24,"h:mm")) &amp; """, """ &amp; IF(EP24="","",TEXT(EP24,"h:mm")) &amp; """],"</f>
        <v>["別府", "18:26", "18:48"],</v>
      </c>
      <c r="ER24" s="18" t="n">
        <f aca="false">IF(AND(LEN(EO24)&lt;&gt;0,LEN(EP24)&lt;&gt;0),((HOUR(EP24)*60)+MINUTE(EP24))-((HOUR(EO24)*60)+MINUTE(EO24)),"")</f>
        <v>22</v>
      </c>
    </row>
    <row r="25" customFormat="false" ht="18" hidden="false" customHeight="false" outlineLevel="0" collapsed="false">
      <c r="E25" s="18" t="str">
        <f aca="false">IF(AND(LEN(B25)&lt;&gt;0,LEN(C25)&lt;&gt;0),((HOUR(C25)*60)+MINUTE(C25))-((HOUR(B25)*60)+MINUTE(B25)),"")</f>
        <v/>
      </c>
      <c r="J25" s="18" t="str">
        <f aca="false">IF(AND(LEN(G25)&lt;&gt;0,LEN(H25)&lt;&gt;0),((HOUR(H25)*60)+MINUTE(H25))-((HOUR(G25)*60)+MINUTE(G25)),"")</f>
        <v/>
      </c>
      <c r="O25" s="18" t="str">
        <f aca="false">IF(AND(LEN(L25)&lt;&gt;0,LEN(M25)&lt;&gt;0),((HOUR(M25)*60)+MINUTE(M25))-((HOUR(L25)*60)+MINUTE(L25)),"")</f>
        <v/>
      </c>
      <c r="T25" s="18" t="str">
        <f aca="false">IF(AND(LEN(Q25)&lt;&gt;0,LEN(R25)&lt;&gt;0),((HOUR(R25)*60)+MINUTE(R25))-((HOUR(Q25)*60)+MINUTE(Q25)),"")</f>
        <v/>
      </c>
      <c r="Y25" s="18" t="str">
        <f aca="false">IF(AND(LEN(V25)&lt;&gt;0,LEN(W25)&lt;&gt;0),((HOUR(W25)*60)+MINUTE(W25))-((HOUR(V25)*60)+MINUTE(V25)),"")</f>
        <v/>
      </c>
      <c r="AD25" s="18" t="str">
        <f aca="false">IF(AND(LEN(AA25)&lt;&gt;0,LEN(AB25)&lt;&gt;0),((HOUR(AB25)*60)+MINUTE(AB25))-((HOUR(AA25)*60)+MINUTE(AA25)),"")</f>
        <v/>
      </c>
      <c r="AI25" s="18" t="str">
        <f aca="false">IF(AND(LEN(AF25)&lt;&gt;0,LEN(AG25)&lt;&gt;0),((HOUR(AG25)*60)+MINUTE(AG25))-((HOUR(AF25)*60)+MINUTE(AF25)),"")</f>
        <v/>
      </c>
      <c r="AN25" s="18" t="str">
        <f aca="false">IF(AND(LEN(AK25)&lt;&gt;0,LEN(AL25)&lt;&gt;0),((HOUR(AL25)*60)+MINUTE(AL25))-((HOUR(AK25)*60)+MINUTE(AK25)),"")</f>
        <v/>
      </c>
      <c r="AS25" s="18" t="str">
        <f aca="false">IF(AND(LEN(AP25)&lt;&gt;0,LEN(AQ25)&lt;&gt;0),((HOUR(AQ25)*60)+MINUTE(AQ25))-((HOUR(AP25)*60)+MINUTE(AP25)),"")</f>
        <v/>
      </c>
      <c r="AX25" s="18" t="str">
        <f aca="false">IF(AND(LEN(AU25)&lt;&gt;0,LEN(AV25)&lt;&gt;0),((HOUR(AV25)*60)+MINUTE(AV25))-((HOUR(AU25)*60)+MINUTE(AU25)),"")</f>
        <v/>
      </c>
      <c r="BD25" s="18" t="str">
        <f aca="false">IF(AND(LEN(BA25)&lt;&gt;0,LEN(BB25)&lt;&gt;0),((HOUR(BB25)*60)+MINUTE(BB25))-((HOUR(BA25)*60)+MINUTE(BA25)),"")</f>
        <v/>
      </c>
      <c r="BI25" s="18" t="str">
        <f aca="false">IF(AND(LEN(BF25)&lt;&gt;0,LEN(BG25)&lt;&gt;0),((HOUR(BG25)*60)+MINUTE(BG25))-((HOUR(BF25)*60)+MINUTE(BF25)),"")</f>
        <v/>
      </c>
      <c r="BN25" s="18" t="str">
        <f aca="false">IF(AND(LEN(BK25)&lt;&gt;0,LEN(BL25)&lt;&gt;0),((HOUR(BL25)*60)+MINUTE(BL25))-((HOUR(BK25)*60)+MINUTE(BK25)),"")</f>
        <v/>
      </c>
      <c r="BS25" s="18" t="str">
        <f aca="false">IF(AND(LEN(BP25)&lt;&gt;0,LEN(BQ25)&lt;&gt;0),((HOUR(BQ25)*60)+MINUTE(BQ25))-((HOUR(BP25)*60)+MINUTE(BP25)),"")</f>
        <v/>
      </c>
      <c r="BX25" s="18" t="str">
        <f aca="false">IF(AND(LEN(BU25)&lt;&gt;0,LEN(BV25)&lt;&gt;0),((HOUR(BV25)*60)+MINUTE(BV25))-((HOUR(BU25)*60)+MINUTE(BU25)),"")</f>
        <v/>
      </c>
      <c r="CD25" s="18" t="str">
        <f aca="false">IF(AND(LEN(CA25)&lt;&gt;0,LEN(CB25)&lt;&gt;0),((HOUR(CB25)*60)+MINUTE(CB25))-((HOUR(CA25)*60)+MINUTE(CA25)),"")</f>
        <v/>
      </c>
      <c r="CI25" s="18" t="str">
        <f aca="false">IF(AND(LEN(CF25)&lt;&gt;0,LEN(CG25)&lt;&gt;0),((HOUR(CG25)*60)+MINUTE(CG25))-((HOUR(CF25)*60)+MINUTE(CF25)),"")</f>
        <v/>
      </c>
      <c r="CJ25" s="19" t="s">
        <v>30</v>
      </c>
      <c r="CK25" s="19" t="n">
        <v>0.744444444444445</v>
      </c>
      <c r="CL25" s="19"/>
      <c r="CM25" s="1" t="str">
        <f aca="false">"[""" &amp; CJ25 &amp; """, """ &amp; IF(CK25="","",TEXT(CK25,"h:mm")) &amp; """, """ &amp; IF(CL25="","",TEXT(CL25,"h:mm")) &amp; """]"</f>
        <v>["菱浦", "17:52", ""]</v>
      </c>
      <c r="CN25" s="18" t="str">
        <f aca="false">IF(AND(LEN(CK25)&lt;&gt;0,LEN(CL25)&lt;&gt;0),((HOUR(CL25)*60)+MINUTE(CL25))-((HOUR(CK25)*60)+MINUTE(CK25)),"")</f>
        <v/>
      </c>
      <c r="CO25" s="19" t="s">
        <v>30</v>
      </c>
      <c r="CP25" s="19" t="n">
        <v>0.744444444444445</v>
      </c>
      <c r="CQ25" s="19"/>
      <c r="CR25" s="1" t="str">
        <f aca="false">"[""" &amp; CO25 &amp; """, """ &amp; IF(CP25="","",TEXT(CP25,"h:mm")) &amp; """, """ &amp; IF(CQ25="","",TEXT(CQ25,"h:mm")) &amp; """]"</f>
        <v>["菱浦", "17:52", ""]</v>
      </c>
      <c r="CS25" s="18" t="str">
        <f aca="false">IF(AND(LEN(CP25)&lt;&gt;0,LEN(CQ25)&lt;&gt;0),((HOUR(CQ25)*60)+MINUTE(CQ25))-((HOUR(CP25)*60)+MINUTE(CP25)),"")</f>
        <v/>
      </c>
      <c r="CZ25" s="21" t="s">
        <v>31</v>
      </c>
      <c r="DA25" s="22" t="n">
        <v>0.574305555555556</v>
      </c>
      <c r="DB25" s="22" t="n">
        <v>0.576388888888889</v>
      </c>
      <c r="DC25" s="1" t="str">
        <f aca="false">"[""" &amp; CZ25 &amp; """, """ &amp; IF(DA25="","",TEXT(DA25,"h:mm")) &amp; """, """ &amp; IF(DB25="","",TEXT(DB25,"h:mm")) &amp; """],"</f>
        <v>["来居", "13:47", "13:50"],</v>
      </c>
      <c r="DD25" s="18" t="n">
        <f aca="false">IF(AND(LEN(DA25)&lt;&gt;0,LEN(DB25)&lt;&gt;0),((HOUR(DB25)*60)+MINUTE(DB25))-((HOUR(DA25)*60)+MINUTE(DA25)),"")</f>
        <v>3</v>
      </c>
      <c r="DE25" s="21" t="s">
        <v>31</v>
      </c>
      <c r="DF25" s="22" t="n">
        <v>0.574305555555556</v>
      </c>
      <c r="DG25" s="22" t="n">
        <v>0.576388888888889</v>
      </c>
      <c r="DH25" s="1" t="str">
        <f aca="false">"[""" &amp; DE25 &amp; """, """ &amp; IF(DF25="","",TEXT(DF25,"h:mm")) &amp; """, """ &amp; IF(DG25="","",TEXT(DG25,"h:mm")) &amp; """],"</f>
        <v>["来居", "13:47", "13:50"],</v>
      </c>
      <c r="DI25" s="18" t="n">
        <f aca="false">IF(AND(LEN(DF25)&lt;&gt;0,LEN(DG25)&lt;&gt;0),((HOUR(DG25)*60)+MINUTE(DG25))-((HOUR(DF25)*60)+MINUTE(DF25)),"")</f>
        <v>3</v>
      </c>
      <c r="DJ25" s="21" t="s">
        <v>31</v>
      </c>
      <c r="DK25" s="22" t="n">
        <v>0.574305555555556</v>
      </c>
      <c r="DL25" s="22" t="n">
        <v>0.576388888888889</v>
      </c>
      <c r="DM25" s="1" t="str">
        <f aca="false">"[""" &amp; DJ25 &amp; """, """ &amp; IF(DK25="","",TEXT(DK25,"h:mm")) &amp; """, """ &amp; IF(DL25="","",TEXT(DL25,"h:mm")) &amp; """],"</f>
        <v>["来居", "13:47", "13:50"],</v>
      </c>
      <c r="DN25" s="18" t="n">
        <f aca="false">IF(AND(LEN(DK25)&lt;&gt;0,LEN(DL25)&lt;&gt;0),((HOUR(DL25)*60)+MINUTE(DL25))-((HOUR(DK25)*60)+MINUTE(DK25)),"")</f>
        <v>3</v>
      </c>
      <c r="DO25" s="21" t="s">
        <v>31</v>
      </c>
      <c r="DP25" s="22" t="n">
        <v>0.574305555555556</v>
      </c>
      <c r="DQ25" s="22" t="n">
        <v>0.576388888888889</v>
      </c>
      <c r="DR25" s="1" t="str">
        <f aca="false">"[""" &amp; DO25 &amp; """, """ &amp; IF(DP25="","",TEXT(DP25,"h:mm")) &amp; """, """ &amp; IF(DQ25="","",TEXT(DQ25,"h:mm")) &amp; """],"</f>
        <v>["来居", "13:47", "13:50"],</v>
      </c>
      <c r="DS25" s="18" t="n">
        <f aca="false">IF(AND(LEN(DP25)&lt;&gt;0,LEN(DQ25)&lt;&gt;0),((HOUR(DQ25)*60)+MINUTE(DQ25))-((HOUR(DP25)*60)+MINUTE(DP25)),"")</f>
        <v>3</v>
      </c>
      <c r="DY25" s="19" t="s">
        <v>30</v>
      </c>
      <c r="DZ25" s="19" t="n">
        <v>0.788888888888889</v>
      </c>
      <c r="EA25" s="19" t="n">
        <v>0.790277777777778</v>
      </c>
      <c r="EB25" s="1" t="str">
        <f aca="false">"[""" &amp; DY25 &amp; """, """ &amp; IF(DZ25="","",TEXT(DZ25,"h:mm")) &amp; """, """ &amp; IF(EA25="","",TEXT(EA25,"h:mm")) &amp; """],"</f>
        <v>["菱浦", "18:56", "18:58"],</v>
      </c>
      <c r="EC25" s="18" t="n">
        <f aca="false">IF(AND(LEN(DZ25)&lt;&gt;0,LEN(EA25)&lt;&gt;0),((HOUR(EA25)*60)+MINUTE(EA25))-((HOUR(DZ25)*60)+MINUTE(DZ25)),"")</f>
        <v>2</v>
      </c>
      <c r="ED25" s="19" t="s">
        <v>30</v>
      </c>
      <c r="EE25" s="19" t="n">
        <v>0.788888888888889</v>
      </c>
      <c r="EF25" s="19" t="n">
        <v>0.790277777777778</v>
      </c>
      <c r="EG25" s="1" t="str">
        <f aca="false">"[""" &amp; ED25 &amp; """, """ &amp; IF(EE25="","",TEXT(EE25,"h:mm")) &amp; """, """ &amp; IF(EF25="","",TEXT(EF25,"h:mm")) &amp; """],"</f>
        <v>["菱浦", "18:56", "18:58"],</v>
      </c>
      <c r="EH25" s="18" t="n">
        <f aca="false">IF(AND(LEN(EE25)&lt;&gt;0,LEN(EF25)&lt;&gt;0),((HOUR(EF25)*60)+MINUTE(EF25))-((HOUR(EE25)*60)+MINUTE(EE25)),"")</f>
        <v>2</v>
      </c>
      <c r="EI25" s="19" t="s">
        <v>30</v>
      </c>
      <c r="EJ25" s="19" t="n">
        <v>0.788888888888889</v>
      </c>
      <c r="EK25" s="19" t="n">
        <v>0.790277777777778</v>
      </c>
      <c r="EL25" s="1" t="str">
        <f aca="false">"[""" &amp; EI25 &amp; """, """ &amp; IF(EJ25="","",TEXT(EJ25,"h:mm")) &amp; """, """ &amp; IF(EK25="","",TEXT(EK25,"h:mm")) &amp; """],"</f>
        <v>["菱浦", "18:56", "18:58"],</v>
      </c>
      <c r="EM25" s="18" t="n">
        <f aca="false">IF(AND(LEN(EJ25)&lt;&gt;0,LEN(EK25)&lt;&gt;0),((HOUR(EK25)*60)+MINUTE(EK25))-((HOUR(EJ25)*60)+MINUTE(EJ25)),"")</f>
        <v>2</v>
      </c>
      <c r="EN25" s="19" t="s">
        <v>30</v>
      </c>
      <c r="EO25" s="19" t="n">
        <v>0.788888888888889</v>
      </c>
      <c r="EP25" s="19" t="n">
        <v>0.790277777777778</v>
      </c>
      <c r="EQ25" s="1" t="str">
        <f aca="false">"[""" &amp; EN25 &amp; """, """ &amp; IF(EO25="","",TEXT(EO25,"h:mm")) &amp; """, """ &amp; IF(EP25="","",TEXT(EP25,"h:mm")) &amp; """],"</f>
        <v>["菱浦", "18:56", "18:58"],</v>
      </c>
      <c r="ER25" s="18" t="n">
        <f aca="false">IF(AND(LEN(EO25)&lt;&gt;0,LEN(EP25)&lt;&gt;0),((HOUR(EP25)*60)+MINUTE(EP25))-((HOUR(EO25)*60)+MINUTE(EO25)),"")</f>
        <v>2</v>
      </c>
    </row>
    <row r="26" customFormat="false" ht="18" hidden="false" customHeight="false" outlineLevel="0" collapsed="false">
      <c r="E26" s="18" t="str">
        <f aca="false">IF(AND(LEN(B26)&lt;&gt;0,LEN(C26)&lt;&gt;0),((HOUR(C26)*60)+MINUTE(C26))-((HOUR(B26)*60)+MINUTE(B26)),"")</f>
        <v/>
      </c>
      <c r="J26" s="18" t="str">
        <f aca="false">IF(AND(LEN(G26)&lt;&gt;0,LEN(H26)&lt;&gt;0),((HOUR(H26)*60)+MINUTE(H26))-((HOUR(G26)*60)+MINUTE(G26)),"")</f>
        <v/>
      </c>
      <c r="O26" s="18" t="str">
        <f aca="false">IF(AND(LEN(L26)&lt;&gt;0,LEN(M26)&lt;&gt;0),((HOUR(M26)*60)+MINUTE(M26))-((HOUR(L26)*60)+MINUTE(L26)),"")</f>
        <v/>
      </c>
      <c r="T26" s="18" t="str">
        <f aca="false">IF(AND(LEN(Q26)&lt;&gt;0,LEN(R26)&lt;&gt;0),((HOUR(R26)*60)+MINUTE(R26))-((HOUR(Q26)*60)+MINUTE(Q26)),"")</f>
        <v/>
      </c>
      <c r="Y26" s="18" t="str">
        <f aca="false">IF(AND(LEN(V26)&lt;&gt;0,LEN(W26)&lt;&gt;0),((HOUR(W26)*60)+MINUTE(W26))-((HOUR(V26)*60)+MINUTE(V26)),"")</f>
        <v/>
      </c>
      <c r="AD26" s="18" t="str">
        <f aca="false">IF(AND(LEN(AA26)&lt;&gt;0,LEN(AB26)&lt;&gt;0),((HOUR(AB26)*60)+MINUTE(AB26))-((HOUR(AA26)*60)+MINUTE(AA26)),"")</f>
        <v/>
      </c>
      <c r="AI26" s="18" t="str">
        <f aca="false">IF(AND(LEN(AF26)&lt;&gt;0,LEN(AG26)&lt;&gt;0),((HOUR(AG26)*60)+MINUTE(AG26))-((HOUR(AF26)*60)+MINUTE(AF26)),"")</f>
        <v/>
      </c>
      <c r="AN26" s="18" t="str">
        <f aca="false">IF(AND(LEN(AK26)&lt;&gt;0,LEN(AL26)&lt;&gt;0),((HOUR(AL26)*60)+MINUTE(AL26))-((HOUR(AK26)*60)+MINUTE(AK26)),"")</f>
        <v/>
      </c>
      <c r="AS26" s="18" t="str">
        <f aca="false">IF(AND(LEN(AP26)&lt;&gt;0,LEN(AQ26)&lt;&gt;0),((HOUR(AQ26)*60)+MINUTE(AQ26))-((HOUR(AP26)*60)+MINUTE(AP26)),"")</f>
        <v/>
      </c>
      <c r="AX26" s="18" t="str">
        <f aca="false">IF(AND(LEN(AU26)&lt;&gt;0,LEN(AV26)&lt;&gt;0),((HOUR(AV26)*60)+MINUTE(AV26))-((HOUR(AU26)*60)+MINUTE(AU26)),"")</f>
        <v/>
      </c>
      <c r="BD26" s="18" t="str">
        <f aca="false">IF(AND(LEN(BA26)&lt;&gt;0,LEN(BB26)&lt;&gt;0),((HOUR(BB26)*60)+MINUTE(BB26))-((HOUR(BA26)*60)+MINUTE(BA26)),"")</f>
        <v/>
      </c>
      <c r="BI26" s="18" t="str">
        <f aca="false">IF(AND(LEN(BF26)&lt;&gt;0,LEN(BG26)&lt;&gt;0),((HOUR(BG26)*60)+MINUTE(BG26))-((HOUR(BF26)*60)+MINUTE(BF26)),"")</f>
        <v/>
      </c>
      <c r="BN26" s="18" t="str">
        <f aca="false">IF(AND(LEN(BK26)&lt;&gt;0,LEN(BL26)&lt;&gt;0),((HOUR(BL26)*60)+MINUTE(BL26))-((HOUR(BK26)*60)+MINUTE(BK26)),"")</f>
        <v/>
      </c>
      <c r="BS26" s="18" t="str">
        <f aca="false">IF(AND(LEN(BP26)&lt;&gt;0,LEN(BQ26)&lt;&gt;0),((HOUR(BQ26)*60)+MINUTE(BQ26))-((HOUR(BP26)*60)+MINUTE(BP26)),"")</f>
        <v/>
      </c>
      <c r="BX26" s="18" t="str">
        <f aca="false">IF(AND(LEN(BU26)&lt;&gt;0,LEN(BV26)&lt;&gt;0),((HOUR(BV26)*60)+MINUTE(BV26))-((HOUR(BU26)*60)+MINUTE(BU26)),"")</f>
        <v/>
      </c>
      <c r="CD26" s="18" t="str">
        <f aca="false">IF(AND(LEN(CA26)&lt;&gt;0,LEN(CB26)&lt;&gt;0),((HOUR(CB26)*60)+MINUTE(CB26))-((HOUR(CA26)*60)+MINUTE(CA26)),"")</f>
        <v/>
      </c>
      <c r="CI26" s="18" t="str">
        <f aca="false">IF(AND(LEN(CF26)&lt;&gt;0,LEN(CG26)&lt;&gt;0),((HOUR(CG26)*60)+MINUTE(CG26))-((HOUR(CF26)*60)+MINUTE(CF26)),"")</f>
        <v/>
      </c>
      <c r="CM26" s="1" t="s">
        <v>33</v>
      </c>
      <c r="CN26" s="18" t="str">
        <f aca="false">IF(AND(LEN(CK26)&lt;&gt;0,LEN(CL26)&lt;&gt;0),((HOUR(CL26)*60)+MINUTE(CL26))-((HOUR(CK26)*60)+MINUTE(CK26)),"")</f>
        <v/>
      </c>
      <c r="CR26" s="1" t="s">
        <v>33</v>
      </c>
      <c r="CS26" s="18" t="str">
        <f aca="false">IF(AND(LEN(CP26)&lt;&gt;0,LEN(CQ26)&lt;&gt;0),((HOUR(CQ26)*60)+MINUTE(CQ26))-((HOUR(CP26)*60)+MINUTE(CP26)),"")</f>
        <v/>
      </c>
      <c r="CZ26" s="20" t="s">
        <v>29</v>
      </c>
      <c r="DA26" s="20" t="n">
        <v>0.588194444444445</v>
      </c>
      <c r="DB26" s="20" t="n">
        <v>0.590277777777778</v>
      </c>
      <c r="DC26" s="1" t="str">
        <f aca="false">"[""" &amp; CZ26 &amp; """, """ &amp; IF(DA26="","",TEXT(DA26,"h:mm")) &amp; """, """ &amp; IF(DB26="","",TEXT(DB26,"h:mm")) &amp; """],"</f>
        <v>["別府", "14:07", "14:10"],</v>
      </c>
      <c r="DD26" s="18" t="n">
        <f aca="false">IF(AND(LEN(DA26)&lt;&gt;0,LEN(DB26)&lt;&gt;0),((HOUR(DB26)*60)+MINUTE(DB26))-((HOUR(DA26)*60)+MINUTE(DA26)),"")</f>
        <v>3</v>
      </c>
      <c r="DE26" s="20" t="s">
        <v>29</v>
      </c>
      <c r="DF26" s="20" t="n">
        <v>0.588194444444445</v>
      </c>
      <c r="DG26" s="20" t="n">
        <v>0.590277777777778</v>
      </c>
      <c r="DH26" s="1" t="str">
        <f aca="false">"[""" &amp; DE26 &amp; """, """ &amp; IF(DF26="","",TEXT(DF26,"h:mm")) &amp; """, """ &amp; IF(DG26="","",TEXT(DG26,"h:mm")) &amp; """],"</f>
        <v>["別府", "14:07", "14:10"],</v>
      </c>
      <c r="DI26" s="18" t="n">
        <f aca="false">IF(AND(LEN(DF26)&lt;&gt;0,LEN(DG26)&lt;&gt;0),((HOUR(DG26)*60)+MINUTE(DG26))-((HOUR(DF26)*60)+MINUTE(DF26)),"")</f>
        <v>3</v>
      </c>
      <c r="DJ26" s="20" t="s">
        <v>29</v>
      </c>
      <c r="DK26" s="20" t="n">
        <v>0.588194444444445</v>
      </c>
      <c r="DL26" s="20" t="n">
        <v>0.590277777777778</v>
      </c>
      <c r="DM26" s="1" t="str">
        <f aca="false">"[""" &amp; DJ26 &amp; """, """ &amp; IF(DK26="","",TEXT(DK26,"h:mm")) &amp; """, """ &amp; IF(DL26="","",TEXT(DL26,"h:mm")) &amp; """],"</f>
        <v>["別府", "14:07", "14:10"],</v>
      </c>
      <c r="DN26" s="18" t="n">
        <f aca="false">IF(AND(LEN(DK26)&lt;&gt;0,LEN(DL26)&lt;&gt;0),((HOUR(DL26)*60)+MINUTE(DL26))-((HOUR(DK26)*60)+MINUTE(DK26)),"")</f>
        <v>3</v>
      </c>
      <c r="DO26" s="20" t="s">
        <v>29</v>
      </c>
      <c r="DP26" s="20" t="n">
        <v>0.588194444444445</v>
      </c>
      <c r="DQ26" s="20" t="n">
        <v>0.590277777777778</v>
      </c>
      <c r="DR26" s="1" t="str">
        <f aca="false">"[""" &amp; DO26 &amp; """, """ &amp; IF(DP26="","",TEXT(DP26,"h:mm")) &amp; """, """ &amp; IF(DQ26="","",TEXT(DQ26,"h:mm")) &amp; """],"</f>
        <v>["別府", "14:07", "14:10"],</v>
      </c>
      <c r="DS26" s="18" t="n">
        <f aca="false">IF(AND(LEN(DP26)&lt;&gt;0,LEN(DQ26)&lt;&gt;0),((HOUR(DQ26)*60)+MINUTE(DQ26))-((HOUR(DP26)*60)+MINUTE(DP26)),"")</f>
        <v>3</v>
      </c>
      <c r="DY26" s="20" t="s">
        <v>29</v>
      </c>
      <c r="DZ26" s="20" t="n">
        <v>0.795833333333333</v>
      </c>
      <c r="EA26" s="20" t="n">
        <v>0.797222222222222</v>
      </c>
      <c r="EB26" s="1" t="str">
        <f aca="false">"[""" &amp; DY26 &amp; """, """ &amp; IF(DZ26="","",TEXT(DZ26,"h:mm")) &amp; """, """ &amp; IF(EA26="","",TEXT(EA26,"h:mm")) &amp; """],"</f>
        <v>["別府", "19:06", "19:08"],</v>
      </c>
      <c r="EC26" s="18" t="n">
        <f aca="false">IF(AND(LEN(DZ26)&lt;&gt;0,LEN(EA26)&lt;&gt;0),((HOUR(EA26)*60)+MINUTE(EA26))-((HOUR(DZ26)*60)+MINUTE(DZ26)),"")</f>
        <v>2</v>
      </c>
      <c r="ED26" s="20" t="s">
        <v>29</v>
      </c>
      <c r="EE26" s="20" t="n">
        <v>0.795833333333333</v>
      </c>
      <c r="EF26" s="20" t="n">
        <v>0.797222222222222</v>
      </c>
      <c r="EG26" s="1" t="str">
        <f aca="false">"[""" &amp; ED26 &amp; """, """ &amp; IF(EE26="","",TEXT(EE26,"h:mm")) &amp; """, """ &amp; IF(EF26="","",TEXT(EF26,"h:mm")) &amp; """],"</f>
        <v>["別府", "19:06", "19:08"],</v>
      </c>
      <c r="EH26" s="18" t="n">
        <f aca="false">IF(AND(LEN(EE26)&lt;&gt;0,LEN(EF26)&lt;&gt;0),((HOUR(EF26)*60)+MINUTE(EF26))-((HOUR(EE26)*60)+MINUTE(EE26)),"")</f>
        <v>2</v>
      </c>
      <c r="EI26" s="20" t="s">
        <v>29</v>
      </c>
      <c r="EJ26" s="20" t="n">
        <v>0.795833333333333</v>
      </c>
      <c r="EK26" s="20" t="n">
        <v>0.797222222222222</v>
      </c>
      <c r="EL26" s="1" t="str">
        <f aca="false">"[""" &amp; EI26 &amp; """, """ &amp; IF(EJ26="","",TEXT(EJ26,"h:mm")) &amp; """, """ &amp; IF(EK26="","",TEXT(EK26,"h:mm")) &amp; """],"</f>
        <v>["別府", "19:06", "19:08"],</v>
      </c>
      <c r="EM26" s="18" t="n">
        <f aca="false">IF(AND(LEN(EJ26)&lt;&gt;0,LEN(EK26)&lt;&gt;0),((HOUR(EK26)*60)+MINUTE(EK26))-((HOUR(EJ26)*60)+MINUTE(EJ26)),"")</f>
        <v>2</v>
      </c>
      <c r="EN26" s="20" t="s">
        <v>29</v>
      </c>
      <c r="EO26" s="20" t="n">
        <v>0.795833333333333</v>
      </c>
      <c r="EP26" s="20" t="n">
        <v>0.797222222222222</v>
      </c>
      <c r="EQ26" s="1" t="str">
        <f aca="false">"[""" &amp; EN26 &amp; """, """ &amp; IF(EO26="","",TEXT(EO26,"h:mm")) &amp; """, """ &amp; IF(EP26="","",TEXT(EP26,"h:mm")) &amp; """],"</f>
        <v>["別府", "19:06", "19:08"],</v>
      </c>
      <c r="ER26" s="18" t="n">
        <f aca="false">IF(AND(LEN(EO26)&lt;&gt;0,LEN(EP26)&lt;&gt;0),((HOUR(EP26)*60)+MINUTE(EP26))-((HOUR(EO26)*60)+MINUTE(EO26)),"")</f>
        <v>2</v>
      </c>
    </row>
    <row r="27" customFormat="false" ht="18" hidden="false" customHeight="false" outlineLevel="0" collapsed="false">
      <c r="CZ27" s="19" t="s">
        <v>30</v>
      </c>
      <c r="DA27" s="19" t="n">
        <v>0.595138888888889</v>
      </c>
      <c r="DB27" s="19" t="n">
        <v>0.600694444444444</v>
      </c>
      <c r="DC27" s="1" t="str">
        <f aca="false">"[""" &amp; CZ27 &amp; """, """ &amp; IF(DA27="","",TEXT(DA27,"h:mm")) &amp; """, """ &amp; IF(DB27="","",TEXT(DB27,"h:mm")) &amp; """],"</f>
        <v>["菱浦", "14:17", "14:25"],</v>
      </c>
      <c r="DD27" s="18" t="n">
        <f aca="false">IF(AND(LEN(DA27)&lt;&gt;0,LEN(DB27)&lt;&gt;0),((HOUR(DB27)*60)+MINUTE(DB27))-((HOUR(DA27)*60)+MINUTE(DA27)),"")</f>
        <v>8</v>
      </c>
      <c r="DE27" s="19" t="s">
        <v>30</v>
      </c>
      <c r="DF27" s="19" t="n">
        <v>0.595138888888889</v>
      </c>
      <c r="DG27" s="19" t="n">
        <v>0.596527777777778</v>
      </c>
      <c r="DH27" s="1" t="str">
        <f aca="false">"[""" &amp; DE27 &amp; """, """ &amp; IF(DF27="","",TEXT(DF27,"h:mm")) &amp; """, """ &amp; IF(DG27="","",TEXT(DG27,"h:mm")) &amp; """],"</f>
        <v>["菱浦", "14:17", "14:19"],</v>
      </c>
      <c r="DI27" s="18" t="n">
        <f aca="false">IF(AND(LEN(DF27)&lt;&gt;0,LEN(DG27)&lt;&gt;0),((HOUR(DG27)*60)+MINUTE(DG27))-((HOUR(DF27)*60)+MINUTE(DF27)),"")</f>
        <v>2</v>
      </c>
      <c r="DJ27" s="19" t="s">
        <v>30</v>
      </c>
      <c r="DK27" s="19" t="n">
        <v>0.595138888888889</v>
      </c>
      <c r="DL27" s="19" t="n">
        <v>0.600694444444444</v>
      </c>
      <c r="DM27" s="1" t="str">
        <f aca="false">"[""" &amp; DJ27 &amp; """, """ &amp; IF(DK27="","",TEXT(DK27,"h:mm")) &amp; """, """ &amp; IF(DL27="","",TEXT(DL27,"h:mm")) &amp; """],"</f>
        <v>["菱浦", "14:17", "14:25"],</v>
      </c>
      <c r="DN27" s="18" t="n">
        <f aca="false">IF(AND(LEN(DK27)&lt;&gt;0,LEN(DL27)&lt;&gt;0),((HOUR(DL27)*60)+MINUTE(DL27))-((HOUR(DK27)*60)+MINUTE(DK27)),"")</f>
        <v>8</v>
      </c>
      <c r="DO27" s="19" t="s">
        <v>30</v>
      </c>
      <c r="DP27" s="19" t="n">
        <v>0.595138888888889</v>
      </c>
      <c r="DQ27" s="19" t="n">
        <v>0.596527777777778</v>
      </c>
      <c r="DR27" s="1" t="str">
        <f aca="false">"[""" &amp; DO27 &amp; """, """ &amp; IF(DP27="","",TEXT(DP27,"h:mm")) &amp; """, """ &amp; IF(DQ27="","",TEXT(DQ27,"h:mm")) &amp; """],"</f>
        <v>["菱浦", "14:17", "14:19"],</v>
      </c>
      <c r="DS27" s="18" t="n">
        <f aca="false">IF(AND(LEN(DP27)&lt;&gt;0,LEN(DQ27)&lt;&gt;0),((HOUR(DQ27)*60)+MINUTE(DQ27))-((HOUR(DP27)*60)+MINUTE(DP27)),"")</f>
        <v>2</v>
      </c>
      <c r="DY27" s="19" t="s">
        <v>30</v>
      </c>
      <c r="DZ27" s="19" t="n">
        <v>0.802777777777778</v>
      </c>
      <c r="EA27" s="19" t="n">
        <v>0.828472222222222</v>
      </c>
      <c r="EB27" s="1" t="str">
        <f aca="false">"[""" &amp; DY27 &amp; """, """ &amp; IF(DZ27="","",TEXT(DZ27,"h:mm")) &amp; """, """ &amp; IF(EA27="","",TEXT(EA27,"h:mm")) &amp; """],"</f>
        <v>["菱浦", "19:16", "19:53"],</v>
      </c>
      <c r="EC27" s="18" t="n">
        <f aca="false">IF(AND(LEN(DZ27)&lt;&gt;0,LEN(EA27)&lt;&gt;0),((HOUR(EA27)*60)+MINUTE(EA27))-((HOUR(DZ27)*60)+MINUTE(DZ27)),"")</f>
        <v>37</v>
      </c>
      <c r="ED27" s="19" t="s">
        <v>30</v>
      </c>
      <c r="EE27" s="19" t="n">
        <v>0.802777777777778</v>
      </c>
      <c r="EF27" s="19" t="n">
        <v>0.828472222222222</v>
      </c>
      <c r="EG27" s="1" t="str">
        <f aca="false">"[""" &amp; ED27 &amp; """, """ &amp; IF(EE27="","",TEXT(EE27,"h:mm")) &amp; """, """ &amp; IF(EF27="","",TEXT(EF27,"h:mm")) &amp; """],"</f>
        <v>["菱浦", "19:16", "19:53"],</v>
      </c>
      <c r="EH27" s="18" t="n">
        <f aca="false">IF(AND(LEN(EE27)&lt;&gt;0,LEN(EF27)&lt;&gt;0),((HOUR(EF27)*60)+MINUTE(EF27))-((HOUR(EE27)*60)+MINUTE(EE27)),"")</f>
        <v>37</v>
      </c>
      <c r="EI27" s="19" t="s">
        <v>30</v>
      </c>
      <c r="EJ27" s="19" t="n">
        <v>0.802777777777778</v>
      </c>
      <c r="EK27" s="19" t="n">
        <v>0.828472222222222</v>
      </c>
      <c r="EL27" s="1" t="str">
        <f aca="false">"[""" &amp; EI27 &amp; """, """ &amp; IF(EJ27="","",TEXT(EJ27,"h:mm")) &amp; """, """ &amp; IF(EK27="","",TEXT(EK27,"h:mm")) &amp; """],"</f>
        <v>["菱浦", "19:16", "19:53"],</v>
      </c>
      <c r="EM27" s="18" t="n">
        <f aca="false">IF(AND(LEN(EJ27)&lt;&gt;0,LEN(EK27)&lt;&gt;0),((HOUR(EK27)*60)+MINUTE(EK27))-((HOUR(EJ27)*60)+MINUTE(EJ27)),"")</f>
        <v>37</v>
      </c>
      <c r="EN27" s="19" t="s">
        <v>30</v>
      </c>
      <c r="EO27" s="19" t="n">
        <v>0.802777777777778</v>
      </c>
      <c r="EP27" s="19" t="n">
        <v>0.828472222222222</v>
      </c>
      <c r="EQ27" s="1" t="str">
        <f aca="false">"[""" &amp; EN27 &amp; """, """ &amp; IF(EO27="","",TEXT(EO27,"h:mm")) &amp; """, """ &amp; IF(EP27="","",TEXT(EP27,"h:mm")) &amp; """],"</f>
        <v>["菱浦", "19:16", "19:53"],</v>
      </c>
      <c r="ER27" s="18" t="n">
        <f aca="false">IF(AND(LEN(EO27)&lt;&gt;0,LEN(EP27)&lt;&gt;0),((HOUR(EP27)*60)+MINUTE(EP27))-((HOUR(EO27)*60)+MINUTE(EO27)),"")</f>
        <v>37</v>
      </c>
    </row>
    <row r="28" customFormat="false" ht="18" hidden="false" customHeight="false" outlineLevel="0" collapsed="false">
      <c r="CZ28" s="20" t="s">
        <v>29</v>
      </c>
      <c r="DA28" s="20" t="n">
        <v>0.605555555555556</v>
      </c>
      <c r="DB28" s="20" t="n">
        <v>0.618055555555556</v>
      </c>
      <c r="DC28" s="1" t="str">
        <f aca="false">"[""" &amp; CZ28 &amp; """, """ &amp; IF(DA28="","",TEXT(DA28,"h:mm")) &amp; """, """ &amp; IF(DB28="","",TEXT(DB28,"h:mm")) &amp; """],"</f>
        <v>["別府", "14:32", "14:50"],</v>
      </c>
      <c r="DD28" s="18" t="n">
        <f aca="false">IF(AND(LEN(DA28)&lt;&gt;0,LEN(DB28)&lt;&gt;0),((HOUR(DB28)*60)+MINUTE(DB28))-((HOUR(DA28)*60)+MINUTE(DA28)),"")</f>
        <v>18</v>
      </c>
      <c r="DE28" s="21" t="s">
        <v>31</v>
      </c>
      <c r="DF28" s="22" t="n">
        <v>0.609027777777778</v>
      </c>
      <c r="DG28" s="22" t="n">
        <v>0.625</v>
      </c>
      <c r="DH28" s="1" t="str">
        <f aca="false">"[""" &amp; DE28 &amp; """, """ &amp; IF(DF28="","",TEXT(DF28,"h:mm")) &amp; """, """ &amp; IF(DG28="","",TEXT(DG28,"h:mm")) &amp; """],"</f>
        <v>["来居", "14:37", "15:00"],</v>
      </c>
      <c r="DI28" s="18" t="n">
        <f aca="false">IF(AND(LEN(DF28)&lt;&gt;0,LEN(DG28)&lt;&gt;0),((HOUR(DG28)*60)+MINUTE(DG28))-((HOUR(DF28)*60)+MINUTE(DF28)),"")</f>
        <v>23</v>
      </c>
      <c r="DJ28" s="20" t="s">
        <v>29</v>
      </c>
      <c r="DK28" s="20" t="n">
        <v>0.605555555555556</v>
      </c>
      <c r="DL28" s="20" t="n">
        <v>0.618055555555556</v>
      </c>
      <c r="DM28" s="1" t="str">
        <f aca="false">"[""" &amp; DJ28 &amp; """, """ &amp; IF(DK28="","",TEXT(DK28,"h:mm")) &amp; """, """ &amp; IF(DL28="","",TEXT(DL28,"h:mm")) &amp; """],"</f>
        <v>["別府", "14:32", "14:50"],</v>
      </c>
      <c r="DN28" s="18" t="n">
        <f aca="false">IF(AND(LEN(DK28)&lt;&gt;0,LEN(DL28)&lt;&gt;0),((HOUR(DL28)*60)+MINUTE(DL28))-((HOUR(DK28)*60)+MINUTE(DK28)),"")</f>
        <v>18</v>
      </c>
      <c r="DO28" s="21" t="s">
        <v>31</v>
      </c>
      <c r="DP28" s="22" t="n">
        <v>0.609027777777778</v>
      </c>
      <c r="DQ28" s="22" t="n">
        <v>0.625</v>
      </c>
      <c r="DR28" s="1" t="str">
        <f aca="false">"[""" &amp; DO28 &amp; """, """ &amp; IF(DP28="","",TEXT(DP28,"h:mm")) &amp; """, """ &amp; IF(DQ28="","",TEXT(DQ28,"h:mm")) &amp; """],"</f>
        <v>["来居", "14:37", "15:00"],</v>
      </c>
      <c r="DS28" s="18" t="n">
        <f aca="false">IF(AND(LEN(DP28)&lt;&gt;0,LEN(DQ28)&lt;&gt;0),((HOUR(DQ28)*60)+MINUTE(DQ28))-((HOUR(DP28)*60)+MINUTE(DP28)),"")</f>
        <v>23</v>
      </c>
      <c r="DY28" s="20" t="s">
        <v>29</v>
      </c>
      <c r="DZ28" s="20" t="n">
        <v>0.834027777777778</v>
      </c>
      <c r="EA28" s="20" t="n">
        <v>0.838194444444445</v>
      </c>
      <c r="EB28" s="1" t="str">
        <f aca="false">"[""" &amp; DY28 &amp; """, """ &amp; IF(DZ28="","",TEXT(DZ28,"h:mm")) &amp; """, """ &amp; IF(EA28="","",TEXT(EA28,"h:mm")) &amp; """],"</f>
        <v>["別府", "20:01", "20:07"],</v>
      </c>
      <c r="EC28" s="18" t="n">
        <f aca="false">IF(AND(LEN(DZ28)&lt;&gt;0,LEN(EA28)&lt;&gt;0),((HOUR(EA28)*60)+MINUTE(EA28))-((HOUR(DZ28)*60)+MINUTE(DZ28)),"")</f>
        <v>6</v>
      </c>
      <c r="ED28" s="20" t="s">
        <v>29</v>
      </c>
      <c r="EE28" s="20" t="n">
        <v>0.834027777777778</v>
      </c>
      <c r="EF28" s="20" t="n">
        <v>0.838194444444445</v>
      </c>
      <c r="EG28" s="1" t="str">
        <f aca="false">"[""" &amp; ED28 &amp; """, """ &amp; IF(EE28="","",TEXT(EE28,"h:mm")) &amp; """, """ &amp; IF(EF28="","",TEXT(EF28,"h:mm")) &amp; """],"</f>
        <v>["別府", "20:01", "20:07"],</v>
      </c>
      <c r="EH28" s="18" t="n">
        <f aca="false">IF(AND(LEN(EE28)&lt;&gt;0,LEN(EF28)&lt;&gt;0),((HOUR(EF28)*60)+MINUTE(EF28))-((HOUR(EE28)*60)+MINUTE(EE28)),"")</f>
        <v>6</v>
      </c>
      <c r="EI28" s="20" t="s">
        <v>29</v>
      </c>
      <c r="EJ28" s="20" t="n">
        <v>0.834027777777778</v>
      </c>
      <c r="EK28" s="20" t="n">
        <v>0.838194444444445</v>
      </c>
      <c r="EL28" s="1" t="str">
        <f aca="false">"[""" &amp; EI28 &amp; """, """ &amp; IF(EJ28="","",TEXT(EJ28,"h:mm")) &amp; """, """ &amp; IF(EK28="","",TEXT(EK28,"h:mm")) &amp; """],"</f>
        <v>["別府", "20:01", "20:07"],</v>
      </c>
      <c r="EM28" s="18" t="n">
        <f aca="false">IF(AND(LEN(EJ28)&lt;&gt;0,LEN(EK28)&lt;&gt;0),((HOUR(EK28)*60)+MINUTE(EK28))-((HOUR(EJ28)*60)+MINUTE(EJ28)),"")</f>
        <v>6</v>
      </c>
      <c r="EN28" s="20" t="s">
        <v>29</v>
      </c>
      <c r="EO28" s="20" t="n">
        <v>0.834027777777778</v>
      </c>
      <c r="EP28" s="20" t="n">
        <v>0.838194444444445</v>
      </c>
      <c r="EQ28" s="1" t="str">
        <f aca="false">"[""" &amp; EN28 &amp; """, """ &amp; IF(EO28="","",TEXT(EO28,"h:mm")) &amp; """, """ &amp; IF(EP28="","",TEXT(EP28,"h:mm")) &amp; """],"</f>
        <v>["別府", "20:01", "20:07"],</v>
      </c>
      <c r="ER28" s="18" t="n">
        <f aca="false">IF(AND(LEN(EO28)&lt;&gt;0,LEN(EP28)&lt;&gt;0),((HOUR(EP28)*60)+MINUTE(EP28))-((HOUR(EO28)*60)+MINUTE(EO28)),"")</f>
        <v>6</v>
      </c>
    </row>
    <row r="29" customFormat="false" ht="18" hidden="false" customHeight="false" outlineLevel="0" collapsed="false">
      <c r="CZ29" s="21" t="s">
        <v>31</v>
      </c>
      <c r="DA29" s="22" t="n">
        <v>0.629861111111111</v>
      </c>
      <c r="DB29" s="22" t="n">
        <v>0.634027777777778</v>
      </c>
      <c r="DC29" s="1" t="str">
        <f aca="false">"[""" &amp; CZ29 &amp; """, """ &amp; IF(DA29="","",TEXT(DA29,"h:mm")) &amp; """, """ &amp; IF(DB29="","",TEXT(DB29,"h:mm")) &amp; """],"</f>
        <v>["来居", "15:07", "15:13"],</v>
      </c>
      <c r="DD29" s="18" t="n">
        <f aca="false">IF(AND(LEN(DA29)&lt;&gt;0,LEN(DB29)&lt;&gt;0),((HOUR(DB29)*60)+MINUTE(DB29))-((HOUR(DA29)*60)+MINUTE(DA29)),"")</f>
        <v>6</v>
      </c>
      <c r="DE29" s="20" t="s">
        <v>29</v>
      </c>
      <c r="DF29" s="20" t="n">
        <v>0.636805555555556</v>
      </c>
      <c r="DG29" s="20" t="n">
        <v>0.645833333333333</v>
      </c>
      <c r="DH29" s="1" t="str">
        <f aca="false">"[""" &amp; DE29 &amp; """, """ &amp; IF(DF29="","",TEXT(DF29,"h:mm")) &amp; """, """ &amp; IF(DG29="","",TEXT(DG29,"h:mm")) &amp; """],"</f>
        <v>["別府", "15:17", "15:30"],</v>
      </c>
      <c r="DI29" s="18" t="n">
        <f aca="false">IF(AND(LEN(DF29)&lt;&gt;0,LEN(DG29)&lt;&gt;0),((HOUR(DG29)*60)+MINUTE(DG29))-((HOUR(DF29)*60)+MINUTE(DF29)),"")</f>
        <v>13</v>
      </c>
      <c r="DJ29" s="21" t="s">
        <v>31</v>
      </c>
      <c r="DK29" s="22" t="n">
        <v>0.629861111111111</v>
      </c>
      <c r="DL29" s="22" t="n">
        <v>0.634027777777778</v>
      </c>
      <c r="DM29" s="1" t="str">
        <f aca="false">"[""" &amp; DJ29 &amp; """, """ &amp; IF(DK29="","",TEXT(DK29,"h:mm")) &amp; """, """ &amp; IF(DL29="","",TEXT(DL29,"h:mm")) &amp; """],"</f>
        <v>["来居", "15:07", "15:13"],</v>
      </c>
      <c r="DN29" s="18" t="n">
        <f aca="false">IF(AND(LEN(DK29)&lt;&gt;0,LEN(DL29)&lt;&gt;0),((HOUR(DL29)*60)+MINUTE(DL29))-((HOUR(DK29)*60)+MINUTE(DK29)),"")</f>
        <v>6</v>
      </c>
      <c r="DO29" s="20" t="s">
        <v>29</v>
      </c>
      <c r="DP29" s="20" t="n">
        <v>0.636805555555556</v>
      </c>
      <c r="DQ29" s="20" t="n">
        <v>0.645833333333333</v>
      </c>
      <c r="DR29" s="1" t="str">
        <f aca="false">"[""" &amp; DO29 &amp; """, """ &amp; IF(DP29="","",TEXT(DP29,"h:mm")) &amp; """, """ &amp; IF(DQ29="","",TEXT(DQ29,"h:mm")) &amp; """],"</f>
        <v>["別府", "15:17", "15:30"],</v>
      </c>
      <c r="DS29" s="18" t="n">
        <f aca="false">IF(AND(LEN(DP29)&lt;&gt;0,LEN(DQ29)&lt;&gt;0),((HOUR(DQ29)*60)+MINUTE(DQ29))-((HOUR(DP29)*60)+MINUTE(DP29)),"")</f>
        <v>13</v>
      </c>
      <c r="DY29" s="19" t="s">
        <v>30</v>
      </c>
      <c r="DZ29" s="19" t="n">
        <v>0.84375</v>
      </c>
      <c r="EA29" s="19" t="n">
        <v>0.877083333333333</v>
      </c>
      <c r="EB29" s="1" t="str">
        <f aca="false">"[""" &amp; DY29 &amp; """, """ &amp; IF(DZ29="","",TEXT(DZ29,"h:mm")) &amp; """, """ &amp; IF(EA29="","",TEXT(EA29,"h:mm")) &amp; """],"</f>
        <v>["菱浦", "20:15", "21:03"],</v>
      </c>
      <c r="EC29" s="18" t="n">
        <f aca="false">IF(AND(LEN(DZ29)&lt;&gt;0,LEN(EA29)&lt;&gt;0),((HOUR(EA29)*60)+MINUTE(EA29))-((HOUR(DZ29)*60)+MINUTE(DZ29)),"")</f>
        <v>48</v>
      </c>
      <c r="ED29" s="19" t="s">
        <v>30</v>
      </c>
      <c r="EE29" s="19" t="n">
        <v>0.84375</v>
      </c>
      <c r="EF29" s="19" t="n">
        <v>0.877083333333333</v>
      </c>
      <c r="EG29" s="1" t="str">
        <f aca="false">"[""" &amp; ED29 &amp; """, """ &amp; IF(EE29="","",TEXT(EE29,"h:mm")) &amp; """, """ &amp; IF(EF29="","",TEXT(EF29,"h:mm")) &amp; """],"</f>
        <v>["菱浦", "20:15", "21:03"],</v>
      </c>
      <c r="EH29" s="18" t="n">
        <f aca="false">IF(AND(LEN(EE29)&lt;&gt;0,LEN(EF29)&lt;&gt;0),((HOUR(EF29)*60)+MINUTE(EF29))-((HOUR(EE29)*60)+MINUTE(EE29)),"")</f>
        <v>48</v>
      </c>
      <c r="EI29" s="19" t="s">
        <v>30</v>
      </c>
      <c r="EJ29" s="19" t="n">
        <v>0.84375</v>
      </c>
      <c r="EK29" s="19" t="n">
        <v>0.877083333333333</v>
      </c>
      <c r="EL29" s="1" t="str">
        <f aca="false">"[""" &amp; EI29 &amp; """, """ &amp; IF(EJ29="","",TEXT(EJ29,"h:mm")) &amp; """, """ &amp; IF(EK29="","",TEXT(EK29,"h:mm")) &amp; """],"</f>
        <v>["菱浦", "20:15", "21:03"],</v>
      </c>
      <c r="EM29" s="18" t="n">
        <f aca="false">IF(AND(LEN(EJ29)&lt;&gt;0,LEN(EK29)&lt;&gt;0),((HOUR(EK29)*60)+MINUTE(EK29))-((HOUR(EJ29)*60)+MINUTE(EJ29)),"")</f>
        <v>48</v>
      </c>
      <c r="EN29" s="19" t="s">
        <v>30</v>
      </c>
      <c r="EO29" s="19" t="n">
        <v>0.84375</v>
      </c>
      <c r="EP29" s="19" t="n">
        <v>0.877083333333333</v>
      </c>
      <c r="EQ29" s="1" t="str">
        <f aca="false">"[""" &amp; EN29 &amp; """, """ &amp; IF(EO29="","",TEXT(EO29,"h:mm")) &amp; """, """ &amp; IF(EP29="","",TEXT(EP29,"h:mm")) &amp; """],"</f>
        <v>["菱浦", "20:15", "21:03"],</v>
      </c>
      <c r="ER29" s="18" t="n">
        <f aca="false">IF(AND(LEN(EO29)&lt;&gt;0,LEN(EP29)&lt;&gt;0),((HOUR(EP29)*60)+MINUTE(EP29))-((HOUR(EO29)*60)+MINUTE(EO29)),"")</f>
        <v>48</v>
      </c>
    </row>
    <row r="30" customFormat="false" ht="18" hidden="false" customHeight="false" outlineLevel="0" collapsed="false">
      <c r="CZ30" s="19" t="s">
        <v>30</v>
      </c>
      <c r="DA30" s="19" t="n">
        <v>0.646527777777778</v>
      </c>
      <c r="DB30" s="19" t="n">
        <v>0.652777777777778</v>
      </c>
      <c r="DC30" s="1" t="str">
        <f aca="false">"[""" &amp; CZ30 &amp; """, """ &amp; IF(DA30="","",TEXT(DA30,"h:mm")) &amp; """, """ &amp; IF(DB30="","",TEXT(DB30,"h:mm")) &amp; """],"</f>
        <v>["菱浦", "15:31", "15:40"],</v>
      </c>
      <c r="DD30" s="18" t="n">
        <f aca="false">IF(AND(LEN(DA30)&lt;&gt;0,LEN(DB30)&lt;&gt;0),((HOUR(DB30)*60)+MINUTE(DB30))-((HOUR(DA30)*60)+MINUTE(DA30)),"")</f>
        <v>9</v>
      </c>
      <c r="DE30" s="19" t="s">
        <v>30</v>
      </c>
      <c r="DF30" s="19" t="n">
        <v>0.650694444444445</v>
      </c>
      <c r="DG30" s="19" t="n">
        <v>0.652777777777778</v>
      </c>
      <c r="DH30" s="1" t="str">
        <f aca="false">"[""" &amp; DE30 &amp; """, """ &amp; IF(DF30="","",TEXT(DF30,"h:mm")) &amp; """, """ &amp; IF(DG30="","",TEXT(DG30,"h:mm")) &amp; """],"</f>
        <v>["菱浦", "15:37", "15:40"],</v>
      </c>
      <c r="DI30" s="18" t="n">
        <f aca="false">IF(AND(LEN(DF30)&lt;&gt;0,LEN(DG30)&lt;&gt;0),((HOUR(DG30)*60)+MINUTE(DG30))-((HOUR(DF30)*60)+MINUTE(DF30)),"")</f>
        <v>3</v>
      </c>
      <c r="DJ30" s="19" t="s">
        <v>30</v>
      </c>
      <c r="DK30" s="19" t="n">
        <v>0.646527777777778</v>
      </c>
      <c r="DL30" s="19" t="n">
        <v>0.652777777777778</v>
      </c>
      <c r="DM30" s="1" t="str">
        <f aca="false">"[""" &amp; DJ30 &amp; """, """ &amp; IF(DK30="","",TEXT(DK30,"h:mm")) &amp; """, """ &amp; IF(DL30="","",TEXT(DL30,"h:mm")) &amp; """],"</f>
        <v>["菱浦", "15:31", "15:40"],</v>
      </c>
      <c r="DN30" s="18" t="n">
        <f aca="false">IF(AND(LEN(DK30)&lt;&gt;0,LEN(DL30)&lt;&gt;0),((HOUR(DL30)*60)+MINUTE(DL30))-((HOUR(DK30)*60)+MINUTE(DK30)),"")</f>
        <v>9</v>
      </c>
      <c r="DO30" s="19" t="s">
        <v>30</v>
      </c>
      <c r="DP30" s="19" t="n">
        <v>0.650694444444445</v>
      </c>
      <c r="DQ30" s="19" t="n">
        <v>0.652777777777778</v>
      </c>
      <c r="DR30" s="1" t="str">
        <f aca="false">"[""" &amp; DO30 &amp; """, """ &amp; IF(DP30="","",TEXT(DP30,"h:mm")) &amp; """, """ &amp; IF(DQ30="","",TEXT(DQ30,"h:mm")) &amp; """],"</f>
        <v>["菱浦", "15:37", "15:40"],</v>
      </c>
      <c r="DS30" s="18" t="n">
        <f aca="false">IF(AND(LEN(DP30)&lt;&gt;0,LEN(DQ30)&lt;&gt;0),((HOUR(DQ30)*60)+MINUTE(DQ30))-((HOUR(DP30)*60)+MINUTE(DP30)),"")</f>
        <v>3</v>
      </c>
      <c r="DY30" s="20" t="s">
        <v>29</v>
      </c>
      <c r="DZ30" s="20" t="n">
        <v>0.882638888888889</v>
      </c>
      <c r="EA30" s="20" t="n">
        <v>0.884027777777778</v>
      </c>
      <c r="EB30" s="1" t="str">
        <f aca="false">"[""" &amp; DY30 &amp; """, """ &amp; IF(DZ30="","",TEXT(DZ30,"h:mm")) &amp; """, """ &amp; IF(EA30="","",TEXT(EA30,"h:mm")) &amp; """],"</f>
        <v>["別府", "21:11", "21:13"],</v>
      </c>
      <c r="EC30" s="18" t="n">
        <f aca="false">IF(AND(LEN(DZ30)&lt;&gt;0,LEN(EA30)&lt;&gt;0),((HOUR(EA30)*60)+MINUTE(EA30))-((HOUR(DZ30)*60)+MINUTE(DZ30)),"")</f>
        <v>2</v>
      </c>
      <c r="ED30" s="20" t="s">
        <v>29</v>
      </c>
      <c r="EE30" s="20" t="n">
        <v>0.882638888888889</v>
      </c>
      <c r="EF30" s="20" t="n">
        <v>0.884027777777778</v>
      </c>
      <c r="EG30" s="1" t="str">
        <f aca="false">"[""" &amp; ED30 &amp; """, """ &amp; IF(EE30="","",TEXT(EE30,"h:mm")) &amp; """, """ &amp; IF(EF30="","",TEXT(EF30,"h:mm")) &amp; """],"</f>
        <v>["別府", "21:11", "21:13"],</v>
      </c>
      <c r="EH30" s="18" t="n">
        <f aca="false">IF(AND(LEN(EE30)&lt;&gt;0,LEN(EF30)&lt;&gt;0),((HOUR(EF30)*60)+MINUTE(EF30))-((HOUR(EE30)*60)+MINUTE(EE30)),"")</f>
        <v>2</v>
      </c>
      <c r="EI30" s="20" t="s">
        <v>29</v>
      </c>
      <c r="EJ30" s="20" t="n">
        <v>0.882638888888889</v>
      </c>
      <c r="EK30" s="20" t="n">
        <v>0.884027777777778</v>
      </c>
      <c r="EL30" s="1" t="str">
        <f aca="false">"[""" &amp; EI30 &amp; """, """ &amp; IF(EJ30="","",TEXT(EJ30,"h:mm")) &amp; """, """ &amp; IF(EK30="","",TEXT(EK30,"h:mm")) &amp; """],"</f>
        <v>["別府", "21:11", "21:13"],</v>
      </c>
      <c r="EM30" s="18" t="n">
        <f aca="false">IF(AND(LEN(EJ30)&lt;&gt;0,LEN(EK30)&lt;&gt;0),((HOUR(EK30)*60)+MINUTE(EK30))-((HOUR(EJ30)*60)+MINUTE(EJ30)),"")</f>
        <v>2</v>
      </c>
      <c r="EN30" s="20" t="s">
        <v>29</v>
      </c>
      <c r="EO30" s="20" t="n">
        <v>0.882638888888889</v>
      </c>
      <c r="EP30" s="20" t="n">
        <v>0.884027777777778</v>
      </c>
      <c r="EQ30" s="1" t="str">
        <f aca="false">"[""" &amp; EN30 &amp; """, """ &amp; IF(EO30="","",TEXT(EO30,"h:mm")) &amp; """, """ &amp; IF(EP30="","",TEXT(EP30,"h:mm")) &amp; """],"</f>
        <v>["別府", "21:11", "21:13"],</v>
      </c>
      <c r="ER30" s="18" t="n">
        <f aca="false">IF(AND(LEN(EO30)&lt;&gt;0,LEN(EP30)&lt;&gt;0),((HOUR(EP30)*60)+MINUTE(EP30))-((HOUR(EO30)*60)+MINUTE(EO30)),"")</f>
        <v>2</v>
      </c>
    </row>
    <row r="31" customFormat="false" ht="18" hidden="false" customHeight="false" outlineLevel="0" collapsed="false">
      <c r="CZ31" s="20" t="s">
        <v>29</v>
      </c>
      <c r="DA31" s="20" t="n">
        <v>0.657638888888889</v>
      </c>
      <c r="DB31" s="20" t="n">
        <v>0.673611111111111</v>
      </c>
      <c r="DC31" s="1" t="str">
        <f aca="false">"[""" &amp; CZ31 &amp; """, """ &amp; IF(DA31="","",TEXT(DA31,"h:mm")) &amp; """, """ &amp; IF(DB31="","",TEXT(DB31,"h:mm")) &amp; """],"</f>
        <v>["別府", "15:47", "16:10"],</v>
      </c>
      <c r="DD31" s="18" t="n">
        <f aca="false">IF(AND(LEN(DA31)&lt;&gt;0,LEN(DB31)&lt;&gt;0),((HOUR(DB31)*60)+MINUTE(DB31))-((HOUR(DA31)*60)+MINUTE(DA31)),"")</f>
        <v>23</v>
      </c>
      <c r="DE31" s="20" t="s">
        <v>29</v>
      </c>
      <c r="DF31" s="20" t="n">
        <v>0.657638888888889</v>
      </c>
      <c r="DG31" s="20" t="n">
        <v>0.673611111111111</v>
      </c>
      <c r="DH31" s="1" t="str">
        <f aca="false">"[""" &amp; DE31 &amp; """, """ &amp; IF(DF31="","",TEXT(DF31,"h:mm")) &amp; """, """ &amp; IF(DG31="","",TEXT(DG31,"h:mm")) &amp; """],"</f>
        <v>["別府", "15:47", "16:10"],</v>
      </c>
      <c r="DI31" s="18" t="n">
        <f aca="false">IF(AND(LEN(DF31)&lt;&gt;0,LEN(DG31)&lt;&gt;0),((HOUR(DG31)*60)+MINUTE(DG31))-((HOUR(DF31)*60)+MINUTE(DF31)),"")</f>
        <v>23</v>
      </c>
      <c r="DJ31" s="20" t="s">
        <v>29</v>
      </c>
      <c r="DK31" s="20" t="n">
        <v>0.657638888888889</v>
      </c>
      <c r="DL31" s="20" t="n">
        <v>0.673611111111111</v>
      </c>
      <c r="DM31" s="1" t="str">
        <f aca="false">"[""" &amp; DJ31 &amp; """, """ &amp; IF(DK31="","",TEXT(DK31,"h:mm")) &amp; """, """ &amp; IF(DL31="","",TEXT(DL31,"h:mm")) &amp; """],"</f>
        <v>["別府", "15:47", "16:10"],</v>
      </c>
      <c r="DN31" s="18" t="n">
        <f aca="false">IF(AND(LEN(DK31)&lt;&gt;0,LEN(DL31)&lt;&gt;0),((HOUR(DL31)*60)+MINUTE(DL31))-((HOUR(DK31)*60)+MINUTE(DK31)),"")</f>
        <v>23</v>
      </c>
      <c r="DO31" s="20" t="s">
        <v>29</v>
      </c>
      <c r="DP31" s="20" t="n">
        <v>0.657638888888889</v>
      </c>
      <c r="DQ31" s="20" t="n">
        <v>0.673611111111111</v>
      </c>
      <c r="DR31" s="1" t="str">
        <f aca="false">"[""" &amp; DO31 &amp; """, """ &amp; IF(DP31="","",TEXT(DP31,"h:mm")) &amp; """, """ &amp; IF(DQ31="","",TEXT(DQ31,"h:mm")) &amp; """],"</f>
        <v>["別府", "15:47", "16:10"],</v>
      </c>
      <c r="DS31" s="18" t="n">
        <f aca="false">IF(AND(LEN(DP31)&lt;&gt;0,LEN(DQ31)&lt;&gt;0),((HOUR(DQ31)*60)+MINUTE(DQ31))-((HOUR(DP31)*60)+MINUTE(DP31)),"")</f>
        <v>23</v>
      </c>
      <c r="DY31" s="19" t="s">
        <v>30</v>
      </c>
      <c r="DZ31" s="19" t="n">
        <v>0.889583333333333</v>
      </c>
      <c r="EA31" s="19" t="n">
        <v>0.922916666666667</v>
      </c>
      <c r="EB31" s="1" t="str">
        <f aca="false">"[""" &amp; DY31 &amp; """, """ &amp; IF(DZ31="","",TEXT(DZ31,"h:mm")) &amp; """, """ &amp; IF(EA31="","",TEXT(EA31,"h:mm")) &amp; """],"</f>
        <v>["菱浦", "21:21", "22:09"],</v>
      </c>
      <c r="EC31" s="18" t="n">
        <f aca="false">IF(AND(LEN(DZ31)&lt;&gt;0,LEN(EA31)&lt;&gt;0),((HOUR(EA31)*60)+MINUTE(EA31))-((HOUR(DZ31)*60)+MINUTE(DZ31)),"")</f>
        <v>48</v>
      </c>
      <c r="ED31" s="19" t="s">
        <v>30</v>
      </c>
      <c r="EE31" s="19" t="n">
        <v>0.889583333333333</v>
      </c>
      <c r="EF31" s="19" t="n">
        <v>0.922916666666667</v>
      </c>
      <c r="EG31" s="1" t="str">
        <f aca="false">"[""" &amp; ED31 &amp; """, """ &amp; IF(EE31="","",TEXT(EE31,"h:mm")) &amp; """, """ &amp; IF(EF31="","",TEXT(EF31,"h:mm")) &amp; """],"</f>
        <v>["菱浦", "21:21", "22:09"],</v>
      </c>
      <c r="EH31" s="18" t="n">
        <f aca="false">IF(AND(LEN(EE31)&lt;&gt;0,LEN(EF31)&lt;&gt;0),((HOUR(EF31)*60)+MINUTE(EF31))-((HOUR(EE31)*60)+MINUTE(EE31)),"")</f>
        <v>48</v>
      </c>
      <c r="EI31" s="19" t="s">
        <v>30</v>
      </c>
      <c r="EJ31" s="19" t="n">
        <v>0.889583333333333</v>
      </c>
      <c r="EK31" s="19" t="n">
        <v>0.922916666666667</v>
      </c>
      <c r="EL31" s="1" t="str">
        <f aca="false">"[""" &amp; EI31 &amp; """, """ &amp; IF(EJ31="","",TEXT(EJ31,"h:mm")) &amp; """, """ &amp; IF(EK31="","",TEXT(EK31,"h:mm")) &amp; """],"</f>
        <v>["菱浦", "21:21", "22:09"],</v>
      </c>
      <c r="EM31" s="18" t="n">
        <f aca="false">IF(AND(LEN(EJ31)&lt;&gt;0,LEN(EK31)&lt;&gt;0),((HOUR(EK31)*60)+MINUTE(EK31))-((HOUR(EJ31)*60)+MINUTE(EJ31)),"")</f>
        <v>48</v>
      </c>
      <c r="EN31" s="19" t="s">
        <v>30</v>
      </c>
      <c r="EO31" s="19" t="n">
        <v>0.889583333333333</v>
      </c>
      <c r="EP31" s="19" t="n">
        <v>0.922916666666667</v>
      </c>
      <c r="EQ31" s="1" t="str">
        <f aca="false">"[""" &amp; EN31 &amp; """, """ &amp; IF(EO31="","",TEXT(EO31,"h:mm")) &amp; """, """ &amp; IF(EP31="","",TEXT(EP31,"h:mm")) &amp; """],"</f>
        <v>["菱浦", "21:21", "22:09"],</v>
      </c>
      <c r="ER31" s="18" t="n">
        <f aca="false">IF(AND(LEN(EO31)&lt;&gt;0,LEN(EP31)&lt;&gt;0),((HOUR(EP31)*60)+MINUTE(EP31))-((HOUR(EO31)*60)+MINUTE(EO31)),"")</f>
        <v>48</v>
      </c>
    </row>
    <row r="32" customFormat="false" ht="18" hidden="false" customHeight="false" outlineLevel="0" collapsed="false">
      <c r="CZ32" s="21" t="s">
        <v>31</v>
      </c>
      <c r="DA32" s="22" t="n">
        <v>0.685416666666667</v>
      </c>
      <c r="DB32" s="22" t="n">
        <v>0.686805555555556</v>
      </c>
      <c r="DC32" s="1" t="str">
        <f aca="false">"[""" &amp; CZ32 &amp; """, """ &amp; IF(DA32="","",TEXT(DA32,"h:mm")) &amp; """, """ &amp; IF(DB32="","",TEXT(DB32,"h:mm")) &amp; """],"</f>
        <v>["来居", "16:27", "16:29"],</v>
      </c>
      <c r="DD32" s="18" t="n">
        <f aca="false">IF(AND(LEN(DA32)&lt;&gt;0,LEN(DB32)&lt;&gt;0),((HOUR(DB32)*60)+MINUTE(DB32))-((HOUR(DA32)*60)+MINUTE(DA32)),"")</f>
        <v>2</v>
      </c>
      <c r="DE32" s="21" t="s">
        <v>31</v>
      </c>
      <c r="DF32" s="22" t="n">
        <v>0.685416666666667</v>
      </c>
      <c r="DG32" s="22" t="n">
        <v>0.686805555555556</v>
      </c>
      <c r="DH32" s="1" t="str">
        <f aca="false">"[""" &amp; DE32 &amp; """, """ &amp; IF(DF32="","",TEXT(DF32,"h:mm")) &amp; """, """ &amp; IF(DG32="","",TEXT(DG32,"h:mm")) &amp; """],"</f>
        <v>["来居", "16:27", "16:29"],</v>
      </c>
      <c r="DI32" s="18" t="n">
        <f aca="false">IF(AND(LEN(DF32)&lt;&gt;0,LEN(DG32)&lt;&gt;0),((HOUR(DG32)*60)+MINUTE(DG32))-((HOUR(DF32)*60)+MINUTE(DF32)),"")</f>
        <v>2</v>
      </c>
      <c r="DJ32" s="21" t="s">
        <v>31</v>
      </c>
      <c r="DK32" s="22" t="n">
        <v>0.685416666666667</v>
      </c>
      <c r="DL32" s="22" t="n">
        <v>0.686805555555556</v>
      </c>
      <c r="DM32" s="1" t="str">
        <f aca="false">"[""" &amp; DJ32 &amp; """, """ &amp; IF(DK32="","",TEXT(DK32,"h:mm")) &amp; """, """ &amp; IF(DL32="","",TEXT(DL32,"h:mm")) &amp; """],"</f>
        <v>["来居", "16:27", "16:29"],</v>
      </c>
      <c r="DN32" s="18" t="n">
        <f aca="false">IF(AND(LEN(DK32)&lt;&gt;0,LEN(DL32)&lt;&gt;0),((HOUR(DL32)*60)+MINUTE(DL32))-((HOUR(DK32)*60)+MINUTE(DK32)),"")</f>
        <v>2</v>
      </c>
      <c r="DO32" s="21" t="s">
        <v>31</v>
      </c>
      <c r="DP32" s="22" t="n">
        <v>0.685416666666667</v>
      </c>
      <c r="DQ32" s="22" t="n">
        <v>0.686805555555556</v>
      </c>
      <c r="DR32" s="1" t="str">
        <f aca="false">"[""" &amp; DO32 &amp; """, """ &amp; IF(DP32="","",TEXT(DP32,"h:mm")) &amp; """, """ &amp; IF(DQ32="","",TEXT(DQ32,"h:mm")) &amp; """],"</f>
        <v>["来居", "16:27", "16:29"],</v>
      </c>
      <c r="DS32" s="18" t="n">
        <f aca="false">IF(AND(LEN(DP32)&lt;&gt;0,LEN(DQ32)&lt;&gt;0),((HOUR(DQ32)*60)+MINUTE(DQ32))-((HOUR(DP32)*60)+MINUTE(DP32)),"")</f>
        <v>2</v>
      </c>
      <c r="DY32" s="20" t="s">
        <v>29</v>
      </c>
      <c r="DZ32" s="20" t="n">
        <v>0.928472222222222</v>
      </c>
      <c r="EA32" s="22"/>
      <c r="EB32" s="1" t="str">
        <f aca="false">"[""" &amp; DY32 &amp; """, """ &amp; IF(DZ32="","",TEXT(DZ32,"h:mm")) &amp; """, """ &amp; IF(EA32="","",TEXT(EA32,"h:mm")) &amp; """]"</f>
        <v>["別府", "22:17", ""]</v>
      </c>
      <c r="EC32" s="18" t="str">
        <f aca="false">IF(AND(LEN(DZ32)&lt;&gt;0,LEN(EA32)&lt;&gt;0),((HOUR(EA32)*60)+MINUTE(EA32))-((HOUR(DZ32)*60)+MINUTE(DZ32)),"")</f>
        <v/>
      </c>
      <c r="ED32" s="20" t="s">
        <v>29</v>
      </c>
      <c r="EE32" s="20" t="n">
        <v>0.928472222222222</v>
      </c>
      <c r="EF32" s="22"/>
      <c r="EG32" s="1" t="str">
        <f aca="false">"[""" &amp; ED32 &amp; """, """ &amp; IF(EE32="","",TEXT(EE32,"h:mm")) &amp; """, """ &amp; IF(EF32="","",TEXT(EF32,"h:mm")) &amp; """]"</f>
        <v>["別府", "22:17", ""]</v>
      </c>
      <c r="EH32" s="18" t="str">
        <f aca="false">IF(AND(LEN(EE32)&lt;&gt;0,LEN(EF32)&lt;&gt;0),((HOUR(EF32)*60)+MINUTE(EF32))-((HOUR(EE32)*60)+MINUTE(EE32)),"")</f>
        <v/>
      </c>
      <c r="EI32" s="20" t="s">
        <v>29</v>
      </c>
      <c r="EJ32" s="20" t="n">
        <v>0.928472222222222</v>
      </c>
      <c r="EK32" s="22"/>
      <c r="EL32" s="1" t="str">
        <f aca="false">"[""" &amp; EI32 &amp; """, """ &amp; IF(EJ32="","",TEXT(EJ32,"h:mm")) &amp; """, """ &amp; IF(EK32="","",TEXT(EK32,"h:mm")) &amp; """]"</f>
        <v>["別府", "22:17", ""]</v>
      </c>
      <c r="EM32" s="18" t="str">
        <f aca="false">IF(AND(LEN(EJ32)&lt;&gt;0,LEN(EK32)&lt;&gt;0),((HOUR(EK32)*60)+MINUTE(EK32))-((HOUR(EJ32)*60)+MINUTE(EJ32)),"")</f>
        <v/>
      </c>
      <c r="EN32" s="20" t="s">
        <v>29</v>
      </c>
      <c r="EO32" s="20" t="n">
        <v>0.928472222222222</v>
      </c>
      <c r="EP32" s="22"/>
      <c r="EQ32" s="1" t="str">
        <f aca="false">"[""" &amp; EN32 &amp; """, """ &amp; IF(EO32="","",TEXT(EO32,"h:mm")) &amp; """, """ &amp; IF(EP32="","",TEXT(EP32,"h:mm")) &amp; """]"</f>
        <v>["別府", "22:17", ""]</v>
      </c>
      <c r="ER32" s="18" t="str">
        <f aca="false">IF(AND(LEN(EO32)&lt;&gt;0,LEN(EP32)&lt;&gt;0),((HOUR(EP32)*60)+MINUTE(EP32))-((HOUR(EO32)*60)+MINUTE(EO32)),"")</f>
        <v/>
      </c>
    </row>
    <row r="33" customFormat="false" ht="18" hidden="false" customHeight="false" outlineLevel="0" collapsed="false">
      <c r="CZ33" s="19" t="s">
        <v>30</v>
      </c>
      <c r="DA33" s="19" t="n">
        <v>0.699305555555556</v>
      </c>
      <c r="DB33" s="19" t="n">
        <v>0.700694444444444</v>
      </c>
      <c r="DC33" s="1" t="str">
        <f aca="false">"[""" &amp; CZ33 &amp; """, """ &amp; IF(DA33="","",TEXT(DA33,"h:mm")) &amp; """, """ &amp; IF(DB33="","",TEXT(DB33,"h:mm")) &amp; """],"</f>
        <v>["菱浦", "16:47", "16:49"],</v>
      </c>
      <c r="DD33" s="18" t="n">
        <f aca="false">IF(AND(LEN(DA33)&lt;&gt;0,LEN(DB33)&lt;&gt;0),((HOUR(DB33)*60)+MINUTE(DB33))-((HOUR(DA33)*60)+MINUTE(DA33)),"")</f>
        <v>2</v>
      </c>
      <c r="DE33" s="19" t="s">
        <v>30</v>
      </c>
      <c r="DF33" s="19" t="n">
        <v>0.699305555555556</v>
      </c>
      <c r="DG33" s="19" t="n">
        <v>0.700694444444444</v>
      </c>
      <c r="DH33" s="1" t="str">
        <f aca="false">"[""" &amp; DE33 &amp; """, """ &amp; IF(DF33="","",TEXT(DF33,"h:mm")) &amp; """, """ &amp; IF(DG33="","",TEXT(DG33,"h:mm")) &amp; """],"</f>
        <v>["菱浦", "16:47", "16:49"],</v>
      </c>
      <c r="DI33" s="18" t="n">
        <f aca="false">IF(AND(LEN(DF33)&lt;&gt;0,LEN(DG33)&lt;&gt;0),((HOUR(DG33)*60)+MINUTE(DG33))-((HOUR(DF33)*60)+MINUTE(DF33)),"")</f>
        <v>2</v>
      </c>
      <c r="DJ33" s="19" t="s">
        <v>30</v>
      </c>
      <c r="DK33" s="19" t="n">
        <v>0.699305555555556</v>
      </c>
      <c r="DL33" s="19" t="n">
        <v>0.700694444444444</v>
      </c>
      <c r="DM33" s="1" t="str">
        <f aca="false">"[""" &amp; DJ33 &amp; """, """ &amp; IF(DK33="","",TEXT(DK33,"h:mm")) &amp; """, """ &amp; IF(DL33="","",TEXT(DL33,"h:mm")) &amp; """],"</f>
        <v>["菱浦", "16:47", "16:49"],</v>
      </c>
      <c r="DN33" s="18" t="n">
        <f aca="false">IF(AND(LEN(DK33)&lt;&gt;0,LEN(DL33)&lt;&gt;0),((HOUR(DL33)*60)+MINUTE(DL33))-((HOUR(DK33)*60)+MINUTE(DK33)),"")</f>
        <v>2</v>
      </c>
      <c r="DO33" s="19" t="s">
        <v>30</v>
      </c>
      <c r="DP33" s="19" t="n">
        <v>0.699305555555556</v>
      </c>
      <c r="DQ33" s="19" t="n">
        <v>0.700694444444444</v>
      </c>
      <c r="DR33" s="1" t="str">
        <f aca="false">"[""" &amp; DO33 &amp; """, """ &amp; IF(DP33="","",TEXT(DP33,"h:mm")) &amp; """, """ &amp; IF(DQ33="","",TEXT(DQ33,"h:mm")) &amp; """],"</f>
        <v>["菱浦", "16:47", "16:49"],</v>
      </c>
      <c r="DS33" s="18" t="n">
        <f aca="false">IF(AND(LEN(DP33)&lt;&gt;0,LEN(DQ33)&lt;&gt;0),((HOUR(DQ33)*60)+MINUTE(DQ33))-((HOUR(DP33)*60)+MINUTE(DP33)),"")</f>
        <v>2</v>
      </c>
      <c r="DY33" s="19"/>
      <c r="DZ33" s="19"/>
      <c r="EA33" s="19"/>
      <c r="EB33" s="1" t="s">
        <v>33</v>
      </c>
      <c r="EC33" s="18" t="str">
        <f aca="false">IF(AND(LEN(DZ33)&lt;&gt;0,LEN(EA33)&lt;&gt;0),((HOUR(EA33)*60)+MINUTE(EA33))-((HOUR(DZ33)*60)+MINUTE(DZ33)),"")</f>
        <v/>
      </c>
      <c r="ED33" s="19"/>
      <c r="EE33" s="19"/>
      <c r="EF33" s="19"/>
      <c r="EG33" s="1" t="s">
        <v>33</v>
      </c>
      <c r="EH33" s="18" t="str">
        <f aca="false">IF(AND(LEN(EE33)&lt;&gt;0,LEN(EF33)&lt;&gt;0),((HOUR(EF33)*60)+MINUTE(EF33))-((HOUR(EE33)*60)+MINUTE(EE33)),"")</f>
        <v/>
      </c>
      <c r="EI33" s="19"/>
      <c r="EJ33" s="19"/>
      <c r="EK33" s="19"/>
      <c r="EL33" s="1" t="s">
        <v>33</v>
      </c>
      <c r="EM33" s="18" t="str">
        <f aca="false">IF(AND(LEN(EJ33)&lt;&gt;0,LEN(EK33)&lt;&gt;0),((HOUR(EK33)*60)+MINUTE(EK33))-((HOUR(EJ33)*60)+MINUTE(EJ33)),"")</f>
        <v/>
      </c>
      <c r="EN33" s="19"/>
      <c r="EO33" s="19"/>
      <c r="EP33" s="19"/>
      <c r="EQ33" s="1" t="s">
        <v>33</v>
      </c>
      <c r="ER33" s="18" t="str">
        <f aca="false">IF(AND(LEN(EO33)&lt;&gt;0,LEN(EP33)&lt;&gt;0),((HOUR(EP33)*60)+MINUTE(EP33))-((HOUR(EO33)*60)+MINUTE(EO33)),"")</f>
        <v/>
      </c>
    </row>
    <row r="34" customFormat="false" ht="18" hidden="false" customHeight="false" outlineLevel="0" collapsed="false">
      <c r="CZ34" s="20" t="s">
        <v>29</v>
      </c>
      <c r="DA34" s="20" t="n">
        <v>0.705555555555556</v>
      </c>
      <c r="DB34" s="20" t="n">
        <v>0.722222222222222</v>
      </c>
      <c r="DC34" s="1" t="str">
        <f aca="false">"[""" &amp; CZ34 &amp; """, """ &amp; IF(DA34="","",TEXT(DA34,"h:mm")) &amp; """, """ &amp; IF(DB34="","",TEXT(DB34,"h:mm")) &amp; """],"</f>
        <v>["別府", "16:56", "17:20"],</v>
      </c>
      <c r="DD34" s="18" t="n">
        <f aca="false">IF(AND(LEN(DA34)&lt;&gt;0,LEN(DB34)&lt;&gt;0),((HOUR(DB34)*60)+MINUTE(DB34))-((HOUR(DA34)*60)+MINUTE(DA34)),"")</f>
        <v>24</v>
      </c>
      <c r="DE34" s="20" t="s">
        <v>29</v>
      </c>
      <c r="DF34" s="20" t="n">
        <v>0.705555555555556</v>
      </c>
      <c r="DG34" s="20" t="n">
        <v>0.722222222222222</v>
      </c>
      <c r="DH34" s="1" t="str">
        <f aca="false">"[""" &amp; DE34 &amp; """, """ &amp; IF(DF34="","",TEXT(DF34,"h:mm")) &amp; """, """ &amp; IF(DG34="","",TEXT(DG34,"h:mm")) &amp; """],"</f>
        <v>["別府", "16:56", "17:20"],</v>
      </c>
      <c r="DI34" s="18" t="n">
        <f aca="false">IF(AND(LEN(DF34)&lt;&gt;0,LEN(DG34)&lt;&gt;0),((HOUR(DG34)*60)+MINUTE(DG34))-((HOUR(DF34)*60)+MINUTE(DF34)),"")</f>
        <v>24</v>
      </c>
      <c r="DJ34" s="20" t="s">
        <v>29</v>
      </c>
      <c r="DK34" s="20" t="n">
        <v>0.705555555555556</v>
      </c>
      <c r="DL34" s="20" t="n">
        <v>0.722222222222222</v>
      </c>
      <c r="DM34" s="1" t="str">
        <f aca="false">"[""" &amp; DJ34 &amp; """, """ &amp; IF(DK34="","",TEXT(DK34,"h:mm")) &amp; """, """ &amp; IF(DL34="","",TEXT(DL34,"h:mm")) &amp; """],"</f>
        <v>["別府", "16:56", "17:20"],</v>
      </c>
      <c r="DN34" s="18" t="n">
        <f aca="false">IF(AND(LEN(DK34)&lt;&gt;0,LEN(DL34)&lt;&gt;0),((HOUR(DL34)*60)+MINUTE(DL34))-((HOUR(DK34)*60)+MINUTE(DK34)),"")</f>
        <v>24</v>
      </c>
      <c r="DO34" s="20" t="s">
        <v>29</v>
      </c>
      <c r="DP34" s="20" t="n">
        <v>0.705555555555556</v>
      </c>
      <c r="DQ34" s="20" t="n">
        <v>0.722222222222222</v>
      </c>
      <c r="DR34" s="1" t="str">
        <f aca="false">"[""" &amp; DO34 &amp; """, """ &amp; IF(DP34="","",TEXT(DP34,"h:mm")) &amp; """, """ &amp; IF(DQ34="","",TEXT(DQ34,"h:mm")) &amp; """],"</f>
        <v>["別府", "16:56", "17:20"],</v>
      </c>
      <c r="DS34" s="18" t="n">
        <f aca="false">IF(AND(LEN(DP34)&lt;&gt;0,LEN(DQ34)&lt;&gt;0),((HOUR(DQ34)*60)+MINUTE(DQ34))-((HOUR(DP34)*60)+MINUTE(DP34)),"")</f>
        <v>24</v>
      </c>
      <c r="DY34" s="19"/>
      <c r="DZ34" s="19"/>
      <c r="EA34" s="19"/>
      <c r="EC34" s="18"/>
      <c r="ED34" s="19"/>
      <c r="EE34" s="19"/>
      <c r="EF34" s="19"/>
      <c r="EH34" s="18"/>
      <c r="EI34" s="19"/>
      <c r="EJ34" s="19"/>
      <c r="EK34" s="19"/>
      <c r="EM34" s="18"/>
      <c r="EN34" s="19"/>
      <c r="EO34" s="19"/>
      <c r="EP34" s="19"/>
      <c r="ER34" s="18"/>
    </row>
    <row r="35" customFormat="false" ht="18" hidden="false" customHeight="false" outlineLevel="0" collapsed="false">
      <c r="CZ35" s="19" t="s">
        <v>30</v>
      </c>
      <c r="DA35" s="19" t="n">
        <v>0.727083333333333</v>
      </c>
      <c r="DB35" s="29" t="n">
        <v>0.728472222222222</v>
      </c>
      <c r="DC35" s="1" t="str">
        <f aca="false">"[""" &amp; CZ35 &amp; """, """ &amp; IF(DA35="","",TEXT(DA35,"h:mm")) &amp; """, """ &amp; IF(DB35="","",TEXT(DB35,"h:mm")) &amp; """],"</f>
        <v>["菱浦", "17:27", "17:29"],</v>
      </c>
      <c r="DD35" s="18" t="n">
        <f aca="false">IF(AND(LEN(DA35)&lt;&gt;0,LEN(DB35)&lt;&gt;0),((HOUR(DB35)*60)+MINUTE(DB35))-((HOUR(DA35)*60)+MINUTE(DA35)),"")</f>
        <v>2</v>
      </c>
      <c r="DE35" s="19" t="s">
        <v>30</v>
      </c>
      <c r="DF35" s="19" t="n">
        <v>0.727083333333333</v>
      </c>
      <c r="DG35" s="29" t="n">
        <v>0.728472222222222</v>
      </c>
      <c r="DH35" s="1" t="str">
        <f aca="false">"[""" &amp; DE35 &amp; """, """ &amp; IF(DF35="","",TEXT(DF35,"h:mm")) &amp; """, """ &amp; IF(DG35="","",TEXT(DG35,"h:mm")) &amp; """],"</f>
        <v>["菱浦", "17:27", "17:29"],</v>
      </c>
      <c r="DI35" s="18" t="n">
        <f aca="false">IF(AND(LEN(DF35)&lt;&gt;0,LEN(DG35)&lt;&gt;0),((HOUR(DG35)*60)+MINUTE(DG35))-((HOUR(DF35)*60)+MINUTE(DF35)),"")</f>
        <v>2</v>
      </c>
      <c r="DJ35" s="19" t="s">
        <v>30</v>
      </c>
      <c r="DK35" s="19" t="n">
        <v>0.727083333333333</v>
      </c>
      <c r="DL35" s="29" t="n">
        <v>0.735416666666667</v>
      </c>
      <c r="DM35" s="1" t="str">
        <f aca="false">"[""" &amp; DJ35 &amp; """, """ &amp; IF(DK35="","",TEXT(DK35,"h:mm")) &amp; """, """ &amp; IF(DL35="","",TEXT(DL35,"h:mm")) &amp; """],"</f>
        <v>["菱浦", "17:27", "17:39"],</v>
      </c>
      <c r="DN35" s="18" t="n">
        <f aca="false">IF(AND(LEN(DK35)&lt;&gt;0,LEN(DL35)&lt;&gt;0),((HOUR(DL35)*60)+MINUTE(DL35))-((HOUR(DK35)*60)+MINUTE(DK35)),"")</f>
        <v>12</v>
      </c>
      <c r="DO35" s="19" t="s">
        <v>30</v>
      </c>
      <c r="DP35" s="19" t="n">
        <v>0.727083333333333</v>
      </c>
      <c r="DQ35" s="29" t="n">
        <v>0.735416666666667</v>
      </c>
      <c r="DR35" s="1" t="str">
        <f aca="false">"[""" &amp; DO35 &amp; """, """ &amp; IF(DP35="","",TEXT(DP35,"h:mm")) &amp; """, """ &amp; IF(DQ35="","",TEXT(DQ35,"h:mm")) &amp; """],"</f>
        <v>["菱浦", "17:27", "17:39"],</v>
      </c>
      <c r="DS35" s="18" t="n">
        <f aca="false">IF(AND(LEN(DP35)&lt;&gt;0,LEN(DQ35)&lt;&gt;0),((HOUR(DQ35)*60)+MINUTE(DQ35))-((HOUR(DP35)*60)+MINUTE(DP35)),"")</f>
        <v>12</v>
      </c>
      <c r="DY35" s="21"/>
      <c r="DZ35" s="22"/>
      <c r="EA35" s="22"/>
      <c r="EC35" s="18"/>
      <c r="ED35" s="21"/>
      <c r="EE35" s="22"/>
      <c r="EF35" s="22"/>
      <c r="EH35" s="18"/>
      <c r="EI35" s="21"/>
      <c r="EJ35" s="22"/>
      <c r="EK35" s="22"/>
      <c r="EM35" s="18"/>
      <c r="EN35" s="21"/>
      <c r="EO35" s="22"/>
      <c r="EP35" s="22"/>
      <c r="ER35" s="18"/>
    </row>
    <row r="36" customFormat="false" ht="18" hidden="false" customHeight="false" outlineLevel="0" collapsed="false">
      <c r="CZ36" s="21" t="s">
        <v>31</v>
      </c>
      <c r="DA36" s="31" t="n">
        <v>0.740972222222222</v>
      </c>
      <c r="DB36" s="31" t="n">
        <v>0.742361111111111</v>
      </c>
      <c r="DC36" s="1" t="str">
        <f aca="false">"[""" &amp; CZ36 &amp; """, """ &amp; IF(DA36="","",TEXT(DA36,"h:mm")) &amp; """, """ &amp; IF(DB36="","",TEXT(DB36,"h:mm")) &amp; """],"</f>
        <v>["来居", "17:47", "17:49"],</v>
      </c>
      <c r="DD36" s="18" t="n">
        <f aca="false">IF(AND(LEN(DA36)&lt;&gt;0,LEN(DB36)&lt;&gt;0),((HOUR(DB36)*60)+MINUTE(DB36))-((HOUR(DA36)*60)+MINUTE(DA36)),"")</f>
        <v>2</v>
      </c>
      <c r="DE36" s="21" t="s">
        <v>31</v>
      </c>
      <c r="DF36" s="31" t="n">
        <v>0.740972222222222</v>
      </c>
      <c r="DG36" s="31" t="n">
        <v>0.742361111111111</v>
      </c>
      <c r="DH36" s="1" t="str">
        <f aca="false">"[""" &amp; DE36 &amp; """, """ &amp; IF(DF36="","",TEXT(DF36,"h:mm")) &amp; """, """ &amp; IF(DG36="","",TEXT(DG36,"h:mm")) &amp; """],"</f>
        <v>["来居", "17:47", "17:49"],</v>
      </c>
      <c r="DI36" s="18" t="n">
        <f aca="false">IF(AND(LEN(DF36)&lt;&gt;0,LEN(DG36)&lt;&gt;0),((HOUR(DG36)*60)+MINUTE(DG36))-((HOUR(DF36)*60)+MINUTE(DF36)),"")</f>
        <v>2</v>
      </c>
      <c r="DJ36" s="21" t="s">
        <v>31</v>
      </c>
      <c r="DK36" s="31" t="n">
        <v>0.747916666666667</v>
      </c>
      <c r="DL36" s="31" t="n">
        <v>0.749305555555556</v>
      </c>
      <c r="DM36" s="1" t="str">
        <f aca="false">"[""" &amp; DJ36 &amp; """, """ &amp; IF(DK36="","",TEXT(DK36,"h:mm")) &amp; """, """ &amp; IF(DL36="","",TEXT(DL36,"h:mm")) &amp; """],"</f>
        <v>["来居", "17:57", "17:59"],</v>
      </c>
      <c r="DN36" s="18" t="n">
        <f aca="false">IF(AND(LEN(DK36)&lt;&gt;0,LEN(DL36)&lt;&gt;0),((HOUR(DL36)*60)+MINUTE(DL36))-((HOUR(DK36)*60)+MINUTE(DK36)),"")</f>
        <v>2</v>
      </c>
      <c r="DO36" s="21" t="s">
        <v>31</v>
      </c>
      <c r="DP36" s="31" t="n">
        <v>0.747916666666667</v>
      </c>
      <c r="DQ36" s="31" t="n">
        <v>0.749305555555556</v>
      </c>
      <c r="DR36" s="1" t="str">
        <f aca="false">"[""" &amp; DO36 &amp; """, """ &amp; IF(DP36="","",TEXT(DP36,"h:mm")) &amp; """, """ &amp; IF(DQ36="","",TEXT(DQ36,"h:mm")) &amp; """],"</f>
        <v>["来居", "17:57", "17:59"],</v>
      </c>
      <c r="DS36" s="18" t="n">
        <f aca="false">IF(AND(LEN(DP36)&lt;&gt;0,LEN(DQ36)&lt;&gt;0),((HOUR(DQ36)*60)+MINUTE(DQ36))-((HOUR(DP36)*60)+MINUTE(DP36)),"")</f>
        <v>2</v>
      </c>
      <c r="DY36" s="19"/>
      <c r="DZ36" s="19"/>
      <c r="EA36" s="19"/>
      <c r="EC36" s="18"/>
      <c r="ED36" s="19"/>
      <c r="EE36" s="19"/>
      <c r="EF36" s="19"/>
      <c r="EH36" s="18"/>
      <c r="EI36" s="19"/>
      <c r="EJ36" s="19"/>
      <c r="EK36" s="19"/>
      <c r="EM36" s="18"/>
      <c r="EN36" s="19"/>
      <c r="EO36" s="19"/>
      <c r="EP36" s="19"/>
      <c r="ER36" s="18"/>
    </row>
    <row r="37" customFormat="false" ht="18" hidden="false" customHeight="false" outlineLevel="0" collapsed="false">
      <c r="CZ37" s="19" t="s">
        <v>30</v>
      </c>
      <c r="DA37" s="29" t="n">
        <v>0.754861111111111</v>
      </c>
      <c r="DB37" s="29" t="n">
        <v>0.75625</v>
      </c>
      <c r="DC37" s="1" t="str">
        <f aca="false">"[""" &amp; CZ37 &amp; """, """ &amp; IF(DA37="","",TEXT(DA37,"h:mm")) &amp; """, """ &amp; IF(DB37="","",TEXT(DB37,"h:mm")) &amp; """],"</f>
        <v>["菱浦", "18:07", "18:09"],</v>
      </c>
      <c r="DD37" s="18" t="n">
        <f aca="false">IF(AND(LEN(DA37)&lt;&gt;0,LEN(DB37)&lt;&gt;0),((HOUR(DB37)*60)+MINUTE(DB37))-((HOUR(DA37)*60)+MINUTE(DA37)),"")</f>
        <v>2</v>
      </c>
      <c r="DE37" s="19" t="s">
        <v>30</v>
      </c>
      <c r="DF37" s="29" t="n">
        <v>0.754861111111111</v>
      </c>
      <c r="DG37" s="29" t="n">
        <v>0.75625</v>
      </c>
      <c r="DH37" s="1" t="str">
        <f aca="false">"[""" &amp; DE37 &amp; """, """ &amp; IF(DF37="","",TEXT(DF37,"h:mm")) &amp; """, """ &amp; IF(DG37="","",TEXT(DG37,"h:mm")) &amp; """],"</f>
        <v>["菱浦", "18:07", "18:09"],</v>
      </c>
      <c r="DI37" s="18" t="n">
        <f aca="false">IF(AND(LEN(DF37)&lt;&gt;0,LEN(DG37)&lt;&gt;0),((HOUR(DG37)*60)+MINUTE(DG37))-((HOUR(DF37)*60)+MINUTE(DF37)),"")</f>
        <v>2</v>
      </c>
      <c r="DJ37" s="19" t="s">
        <v>30</v>
      </c>
      <c r="DK37" s="29" t="n">
        <v>0.761805555555556</v>
      </c>
      <c r="DL37" s="29" t="n">
        <v>0.763194444444444</v>
      </c>
      <c r="DM37" s="1" t="str">
        <f aca="false">"[""" &amp; DJ37 &amp; """, """ &amp; IF(DK37="","",TEXT(DK37,"h:mm")) &amp; """, """ &amp; IF(DL37="","",TEXT(DL37,"h:mm")) &amp; """],"</f>
        <v>["菱浦", "18:17", "18:19"],</v>
      </c>
      <c r="DN37" s="18" t="n">
        <f aca="false">IF(AND(LEN(DK37)&lt;&gt;0,LEN(DL37)&lt;&gt;0),((HOUR(DL37)*60)+MINUTE(DL37))-((HOUR(DK37)*60)+MINUTE(DK37)),"")</f>
        <v>2</v>
      </c>
      <c r="DO37" s="19" t="s">
        <v>30</v>
      </c>
      <c r="DP37" s="29" t="n">
        <v>0.761805555555556</v>
      </c>
      <c r="DQ37" s="29" t="n">
        <v>0.763194444444444</v>
      </c>
      <c r="DR37" s="1" t="str">
        <f aca="false">"[""" &amp; DO37 &amp; """, """ &amp; IF(DP37="","",TEXT(DP37,"h:mm")) &amp; """, """ &amp; IF(DQ37="","",TEXT(DQ37,"h:mm")) &amp; """],"</f>
        <v>["菱浦", "18:17", "18:19"],</v>
      </c>
      <c r="DS37" s="18" t="n">
        <f aca="false">IF(AND(LEN(DP37)&lt;&gt;0,LEN(DQ37)&lt;&gt;0),((HOUR(DQ37)*60)+MINUTE(DQ37))-((HOUR(DP37)*60)+MINUTE(DP37)),"")</f>
        <v>2</v>
      </c>
      <c r="DY37" s="19"/>
      <c r="DZ37" s="19"/>
      <c r="EA37" s="19"/>
      <c r="EC37" s="18"/>
      <c r="ED37" s="19"/>
      <c r="EE37" s="19"/>
      <c r="EF37" s="19"/>
      <c r="EH37" s="18"/>
      <c r="EI37" s="19"/>
      <c r="EJ37" s="19"/>
      <c r="EK37" s="19"/>
      <c r="EM37" s="18"/>
      <c r="EN37" s="19"/>
      <c r="EO37" s="19"/>
      <c r="EP37" s="19"/>
      <c r="ER37" s="18"/>
    </row>
    <row r="38" customFormat="false" ht="18" hidden="false" customHeight="false" outlineLevel="0" collapsed="false">
      <c r="CZ38" s="20" t="s">
        <v>29</v>
      </c>
      <c r="DA38" s="30" t="n">
        <v>0.761111111111111</v>
      </c>
      <c r="DB38" s="20" t="n">
        <v>0.783333333333333</v>
      </c>
      <c r="DC38" s="1" t="str">
        <f aca="false">"[""" &amp; CZ38 &amp; """, """ &amp; IF(DA38="","",TEXT(DA38,"h:mm")) &amp; """, """ &amp; IF(DB38="","",TEXT(DB38,"h:mm")) &amp; """],"</f>
        <v>["別府", "18:16", "18:48"],</v>
      </c>
      <c r="DD38" s="18" t="n">
        <f aca="false">IF(AND(LEN(DA38)&lt;&gt;0,LEN(DB38)&lt;&gt;0),((HOUR(DB38)*60)+MINUTE(DB38))-((HOUR(DA38)*60)+MINUTE(DA38)),"")</f>
        <v>32</v>
      </c>
      <c r="DE38" s="20" t="s">
        <v>29</v>
      </c>
      <c r="DF38" s="30" t="n">
        <v>0.761111111111111</v>
      </c>
      <c r="DG38" s="20" t="n">
        <v>0.783333333333333</v>
      </c>
      <c r="DH38" s="1" t="str">
        <f aca="false">"[""" &amp; DE38 &amp; """, """ &amp; IF(DF38="","",TEXT(DF38,"h:mm")) &amp; """, """ &amp; IF(DG38="","",TEXT(DG38,"h:mm")) &amp; """],"</f>
        <v>["別府", "18:16", "18:48"],</v>
      </c>
      <c r="DI38" s="18" t="n">
        <f aca="false">IF(AND(LEN(DF38)&lt;&gt;0,LEN(DG38)&lt;&gt;0),((HOUR(DG38)*60)+MINUTE(DG38))-((HOUR(DF38)*60)+MINUTE(DF38)),"")</f>
        <v>32</v>
      </c>
      <c r="DJ38" s="20" t="s">
        <v>29</v>
      </c>
      <c r="DK38" s="30" t="n">
        <v>0.768055555555556</v>
      </c>
      <c r="DL38" s="20" t="n">
        <v>0.783333333333333</v>
      </c>
      <c r="DM38" s="1" t="str">
        <f aca="false">"[""" &amp; DJ38 &amp; """, """ &amp; IF(DK38="","",TEXT(DK38,"h:mm")) &amp; """, """ &amp; IF(DL38="","",TEXT(DL38,"h:mm")) &amp; """],"</f>
        <v>["別府", "18:26", "18:48"],</v>
      </c>
      <c r="DN38" s="18" t="n">
        <f aca="false">IF(AND(LEN(DK38)&lt;&gt;0,LEN(DL38)&lt;&gt;0),((HOUR(DL38)*60)+MINUTE(DL38))-((HOUR(DK38)*60)+MINUTE(DK38)),"")</f>
        <v>22</v>
      </c>
      <c r="DO38" s="20" t="s">
        <v>29</v>
      </c>
      <c r="DP38" s="30" t="n">
        <v>0.768055555555556</v>
      </c>
      <c r="DQ38" s="20" t="n">
        <v>0.783333333333333</v>
      </c>
      <c r="DR38" s="1" t="str">
        <f aca="false">"[""" &amp; DO38 &amp; """, """ &amp; IF(DP38="","",TEXT(DP38,"h:mm")) &amp; """, """ &amp; IF(DQ38="","",TEXT(DQ38,"h:mm")) &amp; """],"</f>
        <v>["別府", "18:26", "18:48"],</v>
      </c>
      <c r="DS38" s="18" t="n">
        <f aca="false">IF(AND(LEN(DP38)&lt;&gt;0,LEN(DQ38)&lt;&gt;0),((HOUR(DQ38)*60)+MINUTE(DQ38))-((HOUR(DP38)*60)+MINUTE(DP38)),"")</f>
        <v>22</v>
      </c>
      <c r="DY38" s="20"/>
      <c r="DZ38" s="20"/>
      <c r="EA38" s="20"/>
      <c r="EC38" s="18"/>
      <c r="ED38" s="20"/>
      <c r="EE38" s="20"/>
      <c r="EF38" s="20"/>
      <c r="EH38" s="18"/>
      <c r="EI38" s="20"/>
      <c r="EJ38" s="20"/>
      <c r="EK38" s="20"/>
      <c r="EM38" s="18"/>
      <c r="EN38" s="20"/>
      <c r="EO38" s="20"/>
      <c r="EP38" s="20"/>
      <c r="ER38" s="18"/>
    </row>
    <row r="39" customFormat="false" ht="18" hidden="false" customHeight="false" outlineLevel="0" collapsed="false">
      <c r="CZ39" s="19" t="s">
        <v>30</v>
      </c>
      <c r="DA39" s="19" t="n">
        <v>0.788888888888889</v>
      </c>
      <c r="DB39" s="19" t="n">
        <v>0.790277777777778</v>
      </c>
      <c r="DC39" s="1" t="str">
        <f aca="false">"[""" &amp; CZ39 &amp; """, """ &amp; IF(DA39="","",TEXT(DA39,"h:mm")) &amp; """, """ &amp; IF(DB39="","",TEXT(DB39,"h:mm")) &amp; """],"</f>
        <v>["菱浦", "18:56", "18:58"],</v>
      </c>
      <c r="DD39" s="18" t="n">
        <f aca="false">IF(AND(LEN(DA39)&lt;&gt;0,LEN(DB39)&lt;&gt;0),((HOUR(DB39)*60)+MINUTE(DB39))-((HOUR(DA39)*60)+MINUTE(DA39)),"")</f>
        <v>2</v>
      </c>
      <c r="DE39" s="19" t="s">
        <v>30</v>
      </c>
      <c r="DF39" s="19" t="n">
        <v>0.788888888888889</v>
      </c>
      <c r="DG39" s="19" t="n">
        <v>0.790277777777778</v>
      </c>
      <c r="DH39" s="1" t="str">
        <f aca="false">"[""" &amp; DE39 &amp; """, """ &amp; IF(DF39="","",TEXT(DF39,"h:mm")) &amp; """, """ &amp; IF(DG39="","",TEXT(DG39,"h:mm")) &amp; """],"</f>
        <v>["菱浦", "18:56", "18:58"],</v>
      </c>
      <c r="DI39" s="18" t="n">
        <f aca="false">IF(AND(LEN(DF39)&lt;&gt;0,LEN(DG39)&lt;&gt;0),((HOUR(DG39)*60)+MINUTE(DG39))-((HOUR(DF39)*60)+MINUTE(DF39)),"")</f>
        <v>2</v>
      </c>
      <c r="DJ39" s="19" t="s">
        <v>30</v>
      </c>
      <c r="DK39" s="19" t="n">
        <v>0.788888888888889</v>
      </c>
      <c r="DL39" s="19" t="n">
        <v>0.790277777777778</v>
      </c>
      <c r="DM39" s="1" t="str">
        <f aca="false">"[""" &amp; DJ39 &amp; """, """ &amp; IF(DK39="","",TEXT(DK39,"h:mm")) &amp; """, """ &amp; IF(DL39="","",TEXT(DL39,"h:mm")) &amp; """],"</f>
        <v>["菱浦", "18:56", "18:58"],</v>
      </c>
      <c r="DN39" s="18" t="n">
        <f aca="false">IF(AND(LEN(DK39)&lt;&gt;0,LEN(DL39)&lt;&gt;0),((HOUR(DL39)*60)+MINUTE(DL39))-((HOUR(DK39)*60)+MINUTE(DK39)),"")</f>
        <v>2</v>
      </c>
      <c r="DO39" s="19" t="s">
        <v>30</v>
      </c>
      <c r="DP39" s="19" t="n">
        <v>0.788888888888889</v>
      </c>
      <c r="DQ39" s="19" t="n">
        <v>0.790277777777778</v>
      </c>
      <c r="DR39" s="1" t="str">
        <f aca="false">"[""" &amp; DO39 &amp; """, """ &amp; IF(DP39="","",TEXT(DP39,"h:mm")) &amp; """, """ &amp; IF(DQ39="","",TEXT(DQ39,"h:mm")) &amp; """],"</f>
        <v>["菱浦", "18:56", "18:58"],</v>
      </c>
      <c r="DS39" s="18" t="n">
        <f aca="false">IF(AND(LEN(DP39)&lt;&gt;0,LEN(DQ39)&lt;&gt;0),((HOUR(DQ39)*60)+MINUTE(DQ39))-((HOUR(DP39)*60)+MINUTE(DP39)),"")</f>
        <v>2</v>
      </c>
      <c r="DY39" s="20"/>
      <c r="DZ39" s="20"/>
      <c r="EA39" s="20"/>
      <c r="EC39" s="18"/>
      <c r="ED39" s="20"/>
      <c r="EE39" s="20"/>
      <c r="EF39" s="20"/>
      <c r="EH39" s="18"/>
      <c r="EI39" s="20"/>
      <c r="EJ39" s="20"/>
      <c r="EK39" s="20"/>
      <c r="EM39" s="18"/>
      <c r="EN39" s="20"/>
      <c r="EO39" s="20"/>
      <c r="EP39" s="20"/>
      <c r="ER39" s="18"/>
    </row>
    <row r="40" customFormat="false" ht="18" hidden="false" customHeight="false" outlineLevel="0" collapsed="false">
      <c r="CZ40" s="20" t="s">
        <v>29</v>
      </c>
      <c r="DA40" s="20" t="n">
        <v>0.795833333333333</v>
      </c>
      <c r="DB40" s="20" t="n">
        <v>0.797222222222222</v>
      </c>
      <c r="DC40" s="1" t="str">
        <f aca="false">"[""" &amp; CZ40 &amp; """, """ &amp; IF(DA40="","",TEXT(DA40,"h:mm")) &amp; """, """ &amp; IF(DB40="","",TEXT(DB40,"h:mm")) &amp; """],"</f>
        <v>["別府", "19:06", "19:08"],</v>
      </c>
      <c r="DD40" s="18" t="n">
        <f aca="false">IF(AND(LEN(DA40)&lt;&gt;0,LEN(DB40)&lt;&gt;0),((HOUR(DB40)*60)+MINUTE(DB40))-((HOUR(DA40)*60)+MINUTE(DA40)),"")</f>
        <v>2</v>
      </c>
      <c r="DE40" s="20" t="s">
        <v>29</v>
      </c>
      <c r="DF40" s="20" t="n">
        <v>0.795833333333333</v>
      </c>
      <c r="DG40" s="20" t="n">
        <v>0.797222222222222</v>
      </c>
      <c r="DH40" s="1" t="str">
        <f aca="false">"[""" &amp; DE40 &amp; """, """ &amp; IF(DF40="","",TEXT(DF40,"h:mm")) &amp; """, """ &amp; IF(DG40="","",TEXT(DG40,"h:mm")) &amp; """],"</f>
        <v>["別府", "19:06", "19:08"],</v>
      </c>
      <c r="DI40" s="18" t="n">
        <f aca="false">IF(AND(LEN(DF40)&lt;&gt;0,LEN(DG40)&lt;&gt;0),((HOUR(DG40)*60)+MINUTE(DG40))-((HOUR(DF40)*60)+MINUTE(DF40)),"")</f>
        <v>2</v>
      </c>
      <c r="DJ40" s="20" t="s">
        <v>29</v>
      </c>
      <c r="DK40" s="20" t="n">
        <v>0.795833333333333</v>
      </c>
      <c r="DL40" s="20" t="n">
        <v>0.797222222222222</v>
      </c>
      <c r="DM40" s="1" t="str">
        <f aca="false">"[""" &amp; DJ40 &amp; """, """ &amp; IF(DK40="","",TEXT(DK40,"h:mm")) &amp; """, """ &amp; IF(DL40="","",TEXT(DL40,"h:mm")) &amp; """],"</f>
        <v>["別府", "19:06", "19:08"],</v>
      </c>
      <c r="DN40" s="18" t="n">
        <f aca="false">IF(AND(LEN(DK40)&lt;&gt;0,LEN(DL40)&lt;&gt;0),((HOUR(DL40)*60)+MINUTE(DL40))-((HOUR(DK40)*60)+MINUTE(DK40)),"")</f>
        <v>2</v>
      </c>
      <c r="DO40" s="20" t="s">
        <v>29</v>
      </c>
      <c r="DP40" s="20" t="n">
        <v>0.795833333333333</v>
      </c>
      <c r="DQ40" s="20" t="n">
        <v>0.797222222222222</v>
      </c>
      <c r="DR40" s="1" t="str">
        <f aca="false">"[""" &amp; DO40 &amp; """, """ &amp; IF(DP40="","",TEXT(DP40,"h:mm")) &amp; """, """ &amp; IF(DQ40="","",TEXT(DQ40,"h:mm")) &amp; """],"</f>
        <v>["別府", "19:06", "19:08"],</v>
      </c>
      <c r="DS40" s="18" t="n">
        <f aca="false">IF(AND(LEN(DP40)&lt;&gt;0,LEN(DQ40)&lt;&gt;0),((HOUR(DQ40)*60)+MINUTE(DQ40))-((HOUR(DP40)*60)+MINUTE(DP40)),"")</f>
        <v>2</v>
      </c>
      <c r="DY40" s="20"/>
      <c r="DZ40" s="20"/>
      <c r="EA40" s="20"/>
      <c r="EC40" s="18"/>
      <c r="ED40" s="20"/>
      <c r="EE40" s="20"/>
      <c r="EF40" s="20"/>
      <c r="EH40" s="18"/>
      <c r="EI40" s="20"/>
      <c r="EJ40" s="20"/>
      <c r="EK40" s="20"/>
      <c r="EM40" s="18"/>
      <c r="EN40" s="20"/>
      <c r="EO40" s="20"/>
      <c r="EP40" s="20"/>
      <c r="ER40" s="18"/>
    </row>
    <row r="41" customFormat="false" ht="18" hidden="false" customHeight="false" outlineLevel="0" collapsed="false">
      <c r="CZ41" s="21" t="s">
        <v>31</v>
      </c>
      <c r="DA41" s="22" t="n">
        <v>0.811111111111111</v>
      </c>
      <c r="DB41" s="22" t="n">
        <v>0.8125</v>
      </c>
      <c r="DC41" s="1" t="str">
        <f aca="false">"[""" &amp; CZ41 &amp; """, """ &amp; IF(DA41="","",TEXT(DA41,"h:mm")) &amp; """, """ &amp; IF(DB41="","",TEXT(DB41,"h:mm")) &amp; """],"</f>
        <v>["来居", "19:28", "19:30"],</v>
      </c>
      <c r="DD41" s="18" t="n">
        <f aca="false">IF(AND(LEN(DA41)&lt;&gt;0,LEN(DB41)&lt;&gt;0),((HOUR(DB41)*60)+MINUTE(DB41))-((HOUR(DA41)*60)+MINUTE(DA41)),"")</f>
        <v>2</v>
      </c>
      <c r="DE41" s="21" t="s">
        <v>31</v>
      </c>
      <c r="DF41" s="22" t="n">
        <v>0.811111111111111</v>
      </c>
      <c r="DG41" s="22" t="n">
        <v>0.8125</v>
      </c>
      <c r="DH41" s="1" t="str">
        <f aca="false">"[""" &amp; DE41 &amp; """, """ &amp; IF(DF41="","",TEXT(DF41,"h:mm")) &amp; """, """ &amp; IF(DG41="","",TEXT(DG41,"h:mm")) &amp; """],"</f>
        <v>["来居", "19:28", "19:30"],</v>
      </c>
      <c r="DI41" s="18" t="n">
        <f aca="false">IF(AND(LEN(DF41)&lt;&gt;0,LEN(DG41)&lt;&gt;0),((HOUR(DG41)*60)+MINUTE(DG41))-((HOUR(DF41)*60)+MINUTE(DF41)),"")</f>
        <v>2</v>
      </c>
      <c r="DJ41" s="21" t="s">
        <v>31</v>
      </c>
      <c r="DK41" s="22" t="n">
        <v>0.811111111111111</v>
      </c>
      <c r="DL41" s="22" t="n">
        <v>0.8125</v>
      </c>
      <c r="DM41" s="1" t="str">
        <f aca="false">"[""" &amp; DJ41 &amp; """, """ &amp; IF(DK41="","",TEXT(DK41,"h:mm")) &amp; """, """ &amp; IF(DL41="","",TEXT(DL41,"h:mm")) &amp; """],"</f>
        <v>["来居", "19:28", "19:30"],</v>
      </c>
      <c r="DN41" s="18" t="n">
        <f aca="false">IF(AND(LEN(DK41)&lt;&gt;0,LEN(DL41)&lt;&gt;0),((HOUR(DL41)*60)+MINUTE(DL41))-((HOUR(DK41)*60)+MINUTE(DK41)),"")</f>
        <v>2</v>
      </c>
      <c r="DO41" s="21" t="s">
        <v>31</v>
      </c>
      <c r="DP41" s="22" t="n">
        <v>0.811111111111111</v>
      </c>
      <c r="DQ41" s="22" t="n">
        <v>0.8125</v>
      </c>
      <c r="DR41" s="1" t="str">
        <f aca="false">"[""" &amp; DO41 &amp; """, """ &amp; IF(DP41="","",TEXT(DP41,"h:mm")) &amp; """, """ &amp; IF(DQ41="","",TEXT(DQ41,"h:mm")) &amp; """],"</f>
        <v>["来居", "19:28", "19:30"],</v>
      </c>
      <c r="DS41" s="18" t="n">
        <f aca="false">IF(AND(LEN(DP41)&lt;&gt;0,LEN(DQ41)&lt;&gt;0),((HOUR(DQ41)*60)+MINUTE(DQ41))-((HOUR(DP41)*60)+MINUTE(DP41)),"")</f>
        <v>2</v>
      </c>
      <c r="DY41" s="20"/>
      <c r="DZ41" s="20"/>
      <c r="EA41" s="20"/>
      <c r="EC41" s="18"/>
      <c r="ED41" s="20"/>
      <c r="EE41" s="20"/>
      <c r="EF41" s="20"/>
      <c r="EH41" s="18"/>
      <c r="EI41" s="20"/>
      <c r="EJ41" s="20"/>
      <c r="EK41" s="20"/>
      <c r="EM41" s="18"/>
      <c r="EN41" s="20"/>
      <c r="EO41" s="20"/>
      <c r="EP41" s="20"/>
      <c r="ER41" s="18"/>
    </row>
    <row r="42" customFormat="false" ht="18" hidden="false" customHeight="false" outlineLevel="0" collapsed="false">
      <c r="CZ42" s="19" t="s">
        <v>30</v>
      </c>
      <c r="DA42" s="19" t="n">
        <v>0.827083333333333</v>
      </c>
      <c r="DB42" s="19" t="n">
        <v>0.828472222222222</v>
      </c>
      <c r="DC42" s="1" t="str">
        <f aca="false">"[""" &amp; CZ42 &amp; """, """ &amp; IF(DA42="","",TEXT(DA42,"h:mm")) &amp; """, """ &amp; IF(DB42="","",TEXT(DB42,"h:mm")) &amp; """],"</f>
        <v>["菱浦", "19:51", "19:53"],</v>
      </c>
      <c r="DD42" s="18" t="n">
        <f aca="false">IF(AND(LEN(DA42)&lt;&gt;0,LEN(DB42)&lt;&gt;0),((HOUR(DB42)*60)+MINUTE(DB42))-((HOUR(DA42)*60)+MINUTE(DA42)),"")</f>
        <v>2</v>
      </c>
      <c r="DE42" s="19" t="s">
        <v>30</v>
      </c>
      <c r="DF42" s="19" t="n">
        <v>0.827083333333333</v>
      </c>
      <c r="DG42" s="19" t="n">
        <v>0.828472222222222</v>
      </c>
      <c r="DH42" s="1" t="str">
        <f aca="false">"[""" &amp; DE42 &amp; """, """ &amp; IF(DF42="","",TEXT(DF42,"h:mm")) &amp; """, """ &amp; IF(DG42="","",TEXT(DG42,"h:mm")) &amp; """],"</f>
        <v>["菱浦", "19:51", "19:53"],</v>
      </c>
      <c r="DI42" s="18" t="n">
        <f aca="false">IF(AND(LEN(DF42)&lt;&gt;0,LEN(DG42)&lt;&gt;0),((HOUR(DG42)*60)+MINUTE(DG42))-((HOUR(DF42)*60)+MINUTE(DF42)),"")</f>
        <v>2</v>
      </c>
      <c r="DJ42" s="19" t="s">
        <v>30</v>
      </c>
      <c r="DK42" s="19" t="n">
        <v>0.827083333333333</v>
      </c>
      <c r="DL42" s="19" t="n">
        <v>0.828472222222222</v>
      </c>
      <c r="DM42" s="1" t="str">
        <f aca="false">"[""" &amp; DJ42 &amp; """, """ &amp; IF(DK42="","",TEXT(DK42,"h:mm")) &amp; """, """ &amp; IF(DL42="","",TEXT(DL42,"h:mm")) &amp; """],"</f>
        <v>["菱浦", "19:51", "19:53"],</v>
      </c>
      <c r="DN42" s="18" t="n">
        <f aca="false">IF(AND(LEN(DK42)&lt;&gt;0,LEN(DL42)&lt;&gt;0),((HOUR(DL42)*60)+MINUTE(DL42))-((HOUR(DK42)*60)+MINUTE(DK42)),"")</f>
        <v>2</v>
      </c>
      <c r="DO42" s="19" t="s">
        <v>30</v>
      </c>
      <c r="DP42" s="19" t="n">
        <v>0.827083333333333</v>
      </c>
      <c r="DQ42" s="19" t="n">
        <v>0.828472222222222</v>
      </c>
      <c r="DR42" s="1" t="str">
        <f aca="false">"[""" &amp; DO42 &amp; """, """ &amp; IF(DP42="","",TEXT(DP42,"h:mm")) &amp; """, """ &amp; IF(DQ42="","",TEXT(DQ42,"h:mm")) &amp; """],"</f>
        <v>["菱浦", "19:51", "19:53"],</v>
      </c>
      <c r="DS42" s="18" t="n">
        <f aca="false">IF(AND(LEN(DP42)&lt;&gt;0,LEN(DQ42)&lt;&gt;0),((HOUR(DQ42)*60)+MINUTE(DQ42))-((HOUR(DP42)*60)+MINUTE(DP42)),"")</f>
        <v>2</v>
      </c>
      <c r="DY42" s="20"/>
      <c r="DZ42" s="20"/>
      <c r="EA42" s="20"/>
      <c r="EC42" s="18"/>
      <c r="ED42" s="20"/>
      <c r="EE42" s="20"/>
      <c r="EF42" s="20"/>
      <c r="EH42" s="18"/>
      <c r="EI42" s="20"/>
      <c r="EJ42" s="20"/>
      <c r="EK42" s="20"/>
      <c r="EM42" s="18"/>
      <c r="EN42" s="20"/>
      <c r="EO42" s="20"/>
      <c r="EP42" s="20"/>
      <c r="ER42" s="18"/>
    </row>
    <row r="43" customFormat="false" ht="18" hidden="false" customHeight="false" outlineLevel="0" collapsed="false">
      <c r="CZ43" s="20" t="s">
        <v>29</v>
      </c>
      <c r="DA43" s="20" t="n">
        <v>0.834027777777778</v>
      </c>
      <c r="DB43" s="20" t="n">
        <v>0.838194444444445</v>
      </c>
      <c r="DC43" s="1" t="str">
        <f aca="false">"[""" &amp; CZ43 &amp; """, """ &amp; IF(DA43="","",TEXT(DA43,"h:mm")) &amp; """, """ &amp; IF(DB43="","",TEXT(DB43,"h:mm")) &amp; """],"</f>
        <v>["別府", "20:01", "20:07"],</v>
      </c>
      <c r="DD43" s="18" t="n">
        <f aca="false">IF(AND(LEN(DA43)&lt;&gt;0,LEN(DB43)&lt;&gt;0),((HOUR(DB43)*60)+MINUTE(DB43))-((HOUR(DA43)*60)+MINUTE(DA43)),"")</f>
        <v>6</v>
      </c>
      <c r="DE43" s="20" t="s">
        <v>29</v>
      </c>
      <c r="DF43" s="20" t="n">
        <v>0.834027777777778</v>
      </c>
      <c r="DG43" s="20" t="n">
        <v>0.838194444444445</v>
      </c>
      <c r="DH43" s="1" t="str">
        <f aca="false">"[""" &amp; DE43 &amp; """, """ &amp; IF(DF43="","",TEXT(DF43,"h:mm")) &amp; """, """ &amp; IF(DG43="","",TEXT(DG43,"h:mm")) &amp; """],"</f>
        <v>["別府", "20:01", "20:07"],</v>
      </c>
      <c r="DI43" s="18" t="n">
        <f aca="false">IF(AND(LEN(DF43)&lt;&gt;0,LEN(DG43)&lt;&gt;0),((HOUR(DG43)*60)+MINUTE(DG43))-((HOUR(DF43)*60)+MINUTE(DF43)),"")</f>
        <v>6</v>
      </c>
      <c r="DJ43" s="20" t="s">
        <v>29</v>
      </c>
      <c r="DK43" s="20" t="n">
        <v>0.834027777777778</v>
      </c>
      <c r="DL43" s="20" t="n">
        <v>0.838194444444445</v>
      </c>
      <c r="DM43" s="1" t="str">
        <f aca="false">"[""" &amp; DJ43 &amp; """, """ &amp; IF(DK43="","",TEXT(DK43,"h:mm")) &amp; """, """ &amp; IF(DL43="","",TEXT(DL43,"h:mm")) &amp; """],"</f>
        <v>["別府", "20:01", "20:07"],</v>
      </c>
      <c r="DN43" s="18" t="n">
        <f aca="false">IF(AND(LEN(DK43)&lt;&gt;0,LEN(DL43)&lt;&gt;0),((HOUR(DL43)*60)+MINUTE(DL43))-((HOUR(DK43)*60)+MINUTE(DK43)),"")</f>
        <v>6</v>
      </c>
      <c r="DO43" s="20" t="s">
        <v>29</v>
      </c>
      <c r="DP43" s="20" t="n">
        <v>0.834027777777778</v>
      </c>
      <c r="DQ43" s="20" t="n">
        <v>0.838194444444445</v>
      </c>
      <c r="DR43" s="1" t="str">
        <f aca="false">"[""" &amp; DO43 &amp; """, """ &amp; IF(DP43="","",TEXT(DP43,"h:mm")) &amp; """, """ &amp; IF(DQ43="","",TEXT(DQ43,"h:mm")) &amp; """],"</f>
        <v>["別府", "20:01", "20:07"],</v>
      </c>
      <c r="DS43" s="18" t="n">
        <f aca="false">IF(AND(LEN(DP43)&lt;&gt;0,LEN(DQ43)&lt;&gt;0),((HOUR(DQ43)*60)+MINUTE(DQ43))-((HOUR(DP43)*60)+MINUTE(DP43)),"")</f>
        <v>6</v>
      </c>
      <c r="DY43" s="20"/>
      <c r="DZ43" s="20"/>
      <c r="EA43" s="20"/>
      <c r="EC43" s="18"/>
      <c r="ED43" s="20"/>
      <c r="EE43" s="20"/>
      <c r="EF43" s="20"/>
      <c r="EH43" s="18"/>
      <c r="EI43" s="20"/>
      <c r="EJ43" s="20"/>
      <c r="EK43" s="20"/>
      <c r="EM43" s="18"/>
      <c r="EN43" s="20"/>
      <c r="EO43" s="20"/>
      <c r="EP43" s="20"/>
      <c r="ER43" s="18"/>
    </row>
    <row r="44" customFormat="false" ht="18" hidden="false" customHeight="false" outlineLevel="0" collapsed="false">
      <c r="CZ44" s="19" t="s">
        <v>30</v>
      </c>
      <c r="DA44" s="19" t="n">
        <v>0.84375</v>
      </c>
      <c r="DB44" s="19" t="n">
        <v>0.845138888888889</v>
      </c>
      <c r="DC44" s="1" t="str">
        <f aca="false">"[""" &amp; CZ44 &amp; """, """ &amp; IF(DA44="","",TEXT(DA44,"h:mm")) &amp; """, """ &amp; IF(DB44="","",TEXT(DB44,"h:mm")) &amp; """],"</f>
        <v>["菱浦", "20:15", "20:17"],</v>
      </c>
      <c r="DD44" s="18" t="n">
        <f aca="false">IF(AND(LEN(DA44)&lt;&gt;0,LEN(DB44)&lt;&gt;0),((HOUR(DB44)*60)+MINUTE(DB44))-((HOUR(DA44)*60)+MINUTE(DA44)),"")</f>
        <v>2</v>
      </c>
      <c r="DE44" s="19" t="s">
        <v>30</v>
      </c>
      <c r="DF44" s="19" t="n">
        <v>0.84375</v>
      </c>
      <c r="DG44" s="19" t="n">
        <v>0.845138888888889</v>
      </c>
      <c r="DH44" s="1" t="str">
        <f aca="false">"[""" &amp; DE44 &amp; """, """ &amp; IF(DF44="","",TEXT(DF44,"h:mm")) &amp; """, """ &amp; IF(DG44="","",TEXT(DG44,"h:mm")) &amp; """],"</f>
        <v>["菱浦", "20:15", "20:17"],</v>
      </c>
      <c r="DI44" s="18" t="n">
        <f aca="false">IF(AND(LEN(DF44)&lt;&gt;0,LEN(DG44)&lt;&gt;0),((HOUR(DG44)*60)+MINUTE(DG44))-((HOUR(DF44)*60)+MINUTE(DF44)),"")</f>
        <v>2</v>
      </c>
      <c r="DJ44" s="19" t="s">
        <v>30</v>
      </c>
      <c r="DK44" s="19" t="n">
        <v>0.84375</v>
      </c>
      <c r="DL44" s="19" t="n">
        <v>0.845138888888889</v>
      </c>
      <c r="DM44" s="1" t="str">
        <f aca="false">"[""" &amp; DJ44 &amp; """, """ &amp; IF(DK44="","",TEXT(DK44,"h:mm")) &amp; """, """ &amp; IF(DL44="","",TEXT(DL44,"h:mm")) &amp; """],"</f>
        <v>["菱浦", "20:15", "20:17"],</v>
      </c>
      <c r="DN44" s="18" t="n">
        <f aca="false">IF(AND(LEN(DK44)&lt;&gt;0,LEN(DL44)&lt;&gt;0),((HOUR(DL44)*60)+MINUTE(DL44))-((HOUR(DK44)*60)+MINUTE(DK44)),"")</f>
        <v>2</v>
      </c>
      <c r="DO44" s="19" t="s">
        <v>30</v>
      </c>
      <c r="DP44" s="19" t="n">
        <v>0.84375</v>
      </c>
      <c r="DQ44" s="19" t="n">
        <v>0.845138888888889</v>
      </c>
      <c r="DR44" s="1" t="str">
        <f aca="false">"[""" &amp; DO44 &amp; """, """ &amp; IF(DP44="","",TEXT(DP44,"h:mm")) &amp; """, """ &amp; IF(DQ44="","",TEXT(DQ44,"h:mm")) &amp; """],"</f>
        <v>["菱浦", "20:15", "20:17"],</v>
      </c>
      <c r="DS44" s="18" t="n">
        <f aca="false">IF(AND(LEN(DP44)&lt;&gt;0,LEN(DQ44)&lt;&gt;0),((HOUR(DQ44)*60)+MINUTE(DQ44))-((HOUR(DP44)*60)+MINUTE(DP44)),"")</f>
        <v>2</v>
      </c>
      <c r="DY44" s="20"/>
      <c r="DZ44" s="20"/>
      <c r="EA44" s="20"/>
      <c r="EC44" s="18"/>
      <c r="ED44" s="20"/>
      <c r="EE44" s="20"/>
      <c r="EF44" s="20"/>
      <c r="EH44" s="18"/>
      <c r="EI44" s="20"/>
      <c r="EJ44" s="20"/>
      <c r="EK44" s="20"/>
      <c r="EM44" s="18"/>
      <c r="EN44" s="20"/>
      <c r="EO44" s="20"/>
      <c r="EP44" s="20"/>
      <c r="ER44" s="18"/>
    </row>
    <row r="45" customFormat="false" ht="18" hidden="false" customHeight="false" outlineLevel="0" collapsed="false">
      <c r="CZ45" s="21" t="s">
        <v>31</v>
      </c>
      <c r="DA45" s="22" t="n">
        <v>0.859722222222222</v>
      </c>
      <c r="DB45" s="22" t="n">
        <v>0.861111111111111</v>
      </c>
      <c r="DC45" s="1" t="str">
        <f aca="false">"[""" &amp; CZ45 &amp; """, """ &amp; IF(DA45="","",TEXT(DA45,"h:mm")) &amp; """, """ &amp; IF(DB45="","",TEXT(DB45,"h:mm")) &amp; """],"</f>
        <v>["来居", "20:38", "20:40"],</v>
      </c>
      <c r="DD45" s="18" t="n">
        <f aca="false">IF(AND(LEN(DA45)&lt;&gt;0,LEN(DB45)&lt;&gt;0),((HOUR(DB45)*60)+MINUTE(DB45))-((HOUR(DA45)*60)+MINUTE(DA45)),"")</f>
        <v>2</v>
      </c>
      <c r="DE45" s="21" t="s">
        <v>31</v>
      </c>
      <c r="DF45" s="22" t="n">
        <v>0.859722222222222</v>
      </c>
      <c r="DG45" s="22" t="n">
        <v>0.861111111111111</v>
      </c>
      <c r="DH45" s="1" t="str">
        <f aca="false">"[""" &amp; DE45 &amp; """, """ &amp; IF(DF45="","",TEXT(DF45,"h:mm")) &amp; """, """ &amp; IF(DG45="","",TEXT(DG45,"h:mm")) &amp; """],"</f>
        <v>["来居", "20:38", "20:40"],</v>
      </c>
      <c r="DI45" s="18" t="n">
        <f aca="false">IF(AND(LEN(DF45)&lt;&gt;0,LEN(DG45)&lt;&gt;0),((HOUR(DG45)*60)+MINUTE(DG45))-((HOUR(DF45)*60)+MINUTE(DF45)),"")</f>
        <v>2</v>
      </c>
      <c r="DJ45" s="21" t="s">
        <v>31</v>
      </c>
      <c r="DK45" s="22" t="n">
        <v>0.859722222222222</v>
      </c>
      <c r="DL45" s="22" t="n">
        <v>0.861111111111111</v>
      </c>
      <c r="DM45" s="1" t="str">
        <f aca="false">"[""" &amp; DJ45 &amp; """, """ &amp; IF(DK45="","",TEXT(DK45,"h:mm")) &amp; """, """ &amp; IF(DL45="","",TEXT(DL45,"h:mm")) &amp; """],"</f>
        <v>["来居", "20:38", "20:40"],</v>
      </c>
      <c r="DN45" s="18" t="n">
        <f aca="false">IF(AND(LEN(DK45)&lt;&gt;0,LEN(DL45)&lt;&gt;0),((HOUR(DL45)*60)+MINUTE(DL45))-((HOUR(DK45)*60)+MINUTE(DK45)),"")</f>
        <v>2</v>
      </c>
      <c r="DO45" s="21" t="s">
        <v>31</v>
      </c>
      <c r="DP45" s="22" t="n">
        <v>0.859722222222222</v>
      </c>
      <c r="DQ45" s="22" t="n">
        <v>0.861111111111111</v>
      </c>
      <c r="DR45" s="1" t="str">
        <f aca="false">"[""" &amp; DO45 &amp; """, """ &amp; IF(DP45="","",TEXT(DP45,"h:mm")) &amp; """, """ &amp; IF(DQ45="","",TEXT(DQ45,"h:mm")) &amp; """],"</f>
        <v>["来居", "20:38", "20:40"],</v>
      </c>
      <c r="DS45" s="18" t="n">
        <f aca="false">IF(AND(LEN(DP45)&lt;&gt;0,LEN(DQ45)&lt;&gt;0),((HOUR(DQ45)*60)+MINUTE(DQ45))-((HOUR(DP45)*60)+MINUTE(DP45)),"")</f>
        <v>2</v>
      </c>
      <c r="DY45" s="21"/>
      <c r="DZ45" s="22"/>
      <c r="EA45" s="22"/>
      <c r="EC45" s="18"/>
      <c r="ED45" s="21"/>
      <c r="EE45" s="22"/>
      <c r="EF45" s="22"/>
      <c r="EH45" s="18"/>
      <c r="EI45" s="21"/>
      <c r="EJ45" s="22"/>
      <c r="EK45" s="22"/>
      <c r="EM45" s="18"/>
      <c r="EN45" s="21"/>
      <c r="EO45" s="22"/>
      <c r="EP45" s="22"/>
      <c r="ER45" s="18"/>
    </row>
    <row r="46" customFormat="false" ht="18" hidden="false" customHeight="false" outlineLevel="0" collapsed="false">
      <c r="CZ46" s="19" t="s">
        <v>30</v>
      </c>
      <c r="DA46" s="19" t="n">
        <v>0.875694444444444</v>
      </c>
      <c r="DB46" s="19" t="n">
        <v>0.877083333333333</v>
      </c>
      <c r="DC46" s="1" t="str">
        <f aca="false">"[""" &amp; CZ46 &amp; """, """ &amp; IF(DA46="","",TEXT(DA46,"h:mm")) &amp; """, """ &amp; IF(DB46="","",TEXT(DB46,"h:mm")) &amp; """],"</f>
        <v>["菱浦", "21:01", "21:03"],</v>
      </c>
      <c r="DD46" s="18" t="n">
        <f aca="false">IF(AND(LEN(DA46)&lt;&gt;0,LEN(DB46)&lt;&gt;0),((HOUR(DB46)*60)+MINUTE(DB46))-((HOUR(DA46)*60)+MINUTE(DA46)),"")</f>
        <v>2</v>
      </c>
      <c r="DE46" s="19" t="s">
        <v>30</v>
      </c>
      <c r="DF46" s="19" t="n">
        <v>0.875694444444444</v>
      </c>
      <c r="DG46" s="19" t="n">
        <v>0.877083333333333</v>
      </c>
      <c r="DH46" s="1" t="str">
        <f aca="false">"[""" &amp; DE46 &amp; """, """ &amp; IF(DF46="","",TEXT(DF46,"h:mm")) &amp; """, """ &amp; IF(DG46="","",TEXT(DG46,"h:mm")) &amp; """],"</f>
        <v>["菱浦", "21:01", "21:03"],</v>
      </c>
      <c r="DI46" s="18" t="n">
        <f aca="false">IF(AND(LEN(DF46)&lt;&gt;0,LEN(DG46)&lt;&gt;0),((HOUR(DG46)*60)+MINUTE(DG46))-((HOUR(DF46)*60)+MINUTE(DF46)),"")</f>
        <v>2</v>
      </c>
      <c r="DJ46" s="19" t="s">
        <v>30</v>
      </c>
      <c r="DK46" s="19" t="n">
        <v>0.875694444444444</v>
      </c>
      <c r="DL46" s="19" t="n">
        <v>0.877083333333333</v>
      </c>
      <c r="DM46" s="1" t="str">
        <f aca="false">"[""" &amp; DJ46 &amp; """, """ &amp; IF(DK46="","",TEXT(DK46,"h:mm")) &amp; """, """ &amp; IF(DL46="","",TEXT(DL46,"h:mm")) &amp; """],"</f>
        <v>["菱浦", "21:01", "21:03"],</v>
      </c>
      <c r="DN46" s="18" t="n">
        <f aca="false">IF(AND(LEN(DK46)&lt;&gt;0,LEN(DL46)&lt;&gt;0),((HOUR(DL46)*60)+MINUTE(DL46))-((HOUR(DK46)*60)+MINUTE(DK46)),"")</f>
        <v>2</v>
      </c>
      <c r="DO46" s="19" t="s">
        <v>30</v>
      </c>
      <c r="DP46" s="19" t="n">
        <v>0.875694444444444</v>
      </c>
      <c r="DQ46" s="19" t="n">
        <v>0.877083333333333</v>
      </c>
      <c r="DR46" s="1" t="str">
        <f aca="false">"[""" &amp; DO46 &amp; """, """ &amp; IF(DP46="","",TEXT(DP46,"h:mm")) &amp; """, """ &amp; IF(DQ46="","",TEXT(DQ46,"h:mm")) &amp; """],"</f>
        <v>["菱浦", "21:01", "21:03"],</v>
      </c>
      <c r="DS46" s="18" t="n">
        <f aca="false">IF(AND(LEN(DP46)&lt;&gt;0,LEN(DQ46)&lt;&gt;0),((HOUR(DQ46)*60)+MINUTE(DQ46))-((HOUR(DP46)*60)+MINUTE(DP46)),"")</f>
        <v>2</v>
      </c>
      <c r="DY46" s="19"/>
      <c r="DZ46" s="19"/>
      <c r="EA46" s="19"/>
      <c r="EC46" s="18"/>
      <c r="ED46" s="19"/>
      <c r="EE46" s="19"/>
      <c r="EF46" s="19"/>
      <c r="EH46" s="18"/>
      <c r="EI46" s="19"/>
      <c r="EJ46" s="19"/>
      <c r="EK46" s="19"/>
      <c r="EM46" s="18"/>
      <c r="EN46" s="19"/>
      <c r="EO46" s="19"/>
      <c r="EP46" s="19"/>
      <c r="ER46" s="18"/>
    </row>
    <row r="47" customFormat="false" ht="18" hidden="false" customHeight="false" outlineLevel="0" collapsed="false">
      <c r="CZ47" s="20" t="s">
        <v>29</v>
      </c>
      <c r="DA47" s="20" t="n">
        <v>0.882638888888889</v>
      </c>
      <c r="DB47" s="20" t="n">
        <v>0.884027777777778</v>
      </c>
      <c r="DC47" s="1" t="str">
        <f aca="false">"[""" &amp; CZ47 &amp; """, """ &amp; IF(DA47="","",TEXT(DA47,"h:mm")) &amp; """, """ &amp; IF(DB47="","",TEXT(DB47,"h:mm")) &amp; """],"</f>
        <v>["別府", "21:11", "21:13"],</v>
      </c>
      <c r="DD47" s="18" t="n">
        <f aca="false">IF(AND(LEN(DA47)&lt;&gt;0,LEN(DB47)&lt;&gt;0),((HOUR(DB47)*60)+MINUTE(DB47))-((HOUR(DA47)*60)+MINUTE(DA47)),"")</f>
        <v>2</v>
      </c>
      <c r="DE47" s="20" t="s">
        <v>29</v>
      </c>
      <c r="DF47" s="20" t="n">
        <v>0.882638888888889</v>
      </c>
      <c r="DG47" s="20" t="n">
        <v>0.884027777777778</v>
      </c>
      <c r="DH47" s="1" t="str">
        <f aca="false">"[""" &amp; DE47 &amp; """, """ &amp; IF(DF47="","",TEXT(DF47,"h:mm")) &amp; """, """ &amp; IF(DG47="","",TEXT(DG47,"h:mm")) &amp; """],"</f>
        <v>["別府", "21:11", "21:13"],</v>
      </c>
      <c r="DI47" s="18" t="n">
        <f aca="false">IF(AND(LEN(DF47)&lt;&gt;0,LEN(DG47)&lt;&gt;0),((HOUR(DG47)*60)+MINUTE(DG47))-((HOUR(DF47)*60)+MINUTE(DF47)),"")</f>
        <v>2</v>
      </c>
      <c r="DJ47" s="20" t="s">
        <v>29</v>
      </c>
      <c r="DK47" s="20" t="n">
        <v>0.882638888888889</v>
      </c>
      <c r="DL47" s="20" t="n">
        <v>0.884027777777778</v>
      </c>
      <c r="DM47" s="1" t="str">
        <f aca="false">"[""" &amp; DJ47 &amp; """, """ &amp; IF(DK47="","",TEXT(DK47,"h:mm")) &amp; """, """ &amp; IF(DL47="","",TEXT(DL47,"h:mm")) &amp; """],"</f>
        <v>["別府", "21:11", "21:13"],</v>
      </c>
      <c r="DN47" s="18" t="n">
        <f aca="false">IF(AND(LEN(DK47)&lt;&gt;0,LEN(DL47)&lt;&gt;0),((HOUR(DL47)*60)+MINUTE(DL47))-((HOUR(DK47)*60)+MINUTE(DK47)),"")</f>
        <v>2</v>
      </c>
      <c r="DO47" s="20" t="s">
        <v>29</v>
      </c>
      <c r="DP47" s="20" t="n">
        <v>0.882638888888889</v>
      </c>
      <c r="DQ47" s="20" t="n">
        <v>0.884027777777778</v>
      </c>
      <c r="DR47" s="1" t="str">
        <f aca="false">"[""" &amp; DO47 &amp; """, """ &amp; IF(DP47="","",TEXT(DP47,"h:mm")) &amp; """, """ &amp; IF(DQ47="","",TEXT(DQ47,"h:mm")) &amp; """],"</f>
        <v>["別府", "21:11", "21:13"],</v>
      </c>
      <c r="DS47" s="18" t="n">
        <f aca="false">IF(AND(LEN(DP47)&lt;&gt;0,LEN(DQ47)&lt;&gt;0),((HOUR(DQ47)*60)+MINUTE(DQ47))-((HOUR(DP47)*60)+MINUTE(DP47)),"")</f>
        <v>2</v>
      </c>
      <c r="DY47" s="19"/>
      <c r="DZ47" s="19"/>
      <c r="EA47" s="19"/>
      <c r="EC47" s="18"/>
      <c r="ED47" s="19"/>
      <c r="EE47" s="19"/>
      <c r="EF47" s="19"/>
      <c r="EH47" s="18"/>
      <c r="EI47" s="19"/>
      <c r="EJ47" s="19"/>
      <c r="EK47" s="19"/>
      <c r="EM47" s="18"/>
      <c r="EN47" s="19"/>
      <c r="EO47" s="19"/>
      <c r="EP47" s="19"/>
      <c r="ER47" s="18"/>
    </row>
    <row r="48" customFormat="false" ht="18" hidden="false" customHeight="false" outlineLevel="0" collapsed="false">
      <c r="CZ48" s="19" t="s">
        <v>30</v>
      </c>
      <c r="DA48" s="19" t="n">
        <v>0.889583333333333</v>
      </c>
      <c r="DB48" s="19" t="n">
        <v>0.890972222222222</v>
      </c>
      <c r="DC48" s="1" t="str">
        <f aca="false">"[""" &amp; CZ48 &amp; """, """ &amp; IF(DA48="","",TEXT(DA48,"h:mm")) &amp; """, """ &amp; IF(DB48="","",TEXT(DB48,"h:mm")) &amp; """],"</f>
        <v>["菱浦", "21:21", "21:23"],</v>
      </c>
      <c r="DD48" s="18" t="n">
        <f aca="false">IF(AND(LEN(DA48)&lt;&gt;0,LEN(DB48)&lt;&gt;0),((HOUR(DB48)*60)+MINUTE(DB48))-((HOUR(DA48)*60)+MINUTE(DA48)),"")</f>
        <v>2</v>
      </c>
      <c r="DE48" s="19" t="s">
        <v>30</v>
      </c>
      <c r="DF48" s="19" t="n">
        <v>0.889583333333333</v>
      </c>
      <c r="DG48" s="19" t="n">
        <v>0.890972222222222</v>
      </c>
      <c r="DH48" s="1" t="str">
        <f aca="false">"[""" &amp; DE48 &amp; """, """ &amp; IF(DF48="","",TEXT(DF48,"h:mm")) &amp; """, """ &amp; IF(DG48="","",TEXT(DG48,"h:mm")) &amp; """],"</f>
        <v>["菱浦", "21:21", "21:23"],</v>
      </c>
      <c r="DI48" s="18" t="n">
        <f aca="false">IF(AND(LEN(DF48)&lt;&gt;0,LEN(DG48)&lt;&gt;0),((HOUR(DG48)*60)+MINUTE(DG48))-((HOUR(DF48)*60)+MINUTE(DF48)),"")</f>
        <v>2</v>
      </c>
      <c r="DJ48" s="19" t="s">
        <v>30</v>
      </c>
      <c r="DK48" s="19" t="n">
        <v>0.889583333333333</v>
      </c>
      <c r="DL48" s="19" t="n">
        <v>0.890972222222222</v>
      </c>
      <c r="DM48" s="1" t="str">
        <f aca="false">"[""" &amp; DJ48 &amp; """, """ &amp; IF(DK48="","",TEXT(DK48,"h:mm")) &amp; """, """ &amp; IF(DL48="","",TEXT(DL48,"h:mm")) &amp; """],"</f>
        <v>["菱浦", "21:21", "21:23"],</v>
      </c>
      <c r="DN48" s="18" t="n">
        <f aca="false">IF(AND(LEN(DK48)&lt;&gt;0,LEN(DL48)&lt;&gt;0),((HOUR(DL48)*60)+MINUTE(DL48))-((HOUR(DK48)*60)+MINUTE(DK48)),"")</f>
        <v>2</v>
      </c>
      <c r="DO48" s="19" t="s">
        <v>30</v>
      </c>
      <c r="DP48" s="19" t="n">
        <v>0.889583333333333</v>
      </c>
      <c r="DQ48" s="19" t="n">
        <v>0.890972222222222</v>
      </c>
      <c r="DR48" s="1" t="str">
        <f aca="false">"[""" &amp; DO48 &amp; """, """ &amp; IF(DP48="","",TEXT(DP48,"h:mm")) &amp; """, """ &amp; IF(DQ48="","",TEXT(DQ48,"h:mm")) &amp; """],"</f>
        <v>["菱浦", "21:21", "21:23"],</v>
      </c>
      <c r="DS48" s="18" t="n">
        <f aca="false">IF(AND(LEN(DP48)&lt;&gt;0,LEN(DQ48)&lt;&gt;0),((HOUR(DQ48)*60)+MINUTE(DQ48))-((HOUR(DP48)*60)+MINUTE(DP48)),"")</f>
        <v>2</v>
      </c>
      <c r="DY48" s="21"/>
      <c r="DZ48" s="22"/>
      <c r="EA48" s="22"/>
      <c r="EC48" s="18"/>
      <c r="ED48" s="21"/>
      <c r="EE48" s="22"/>
      <c r="EF48" s="22"/>
      <c r="EH48" s="18"/>
      <c r="EI48" s="21"/>
      <c r="EJ48" s="22"/>
      <c r="EK48" s="22"/>
      <c r="EM48" s="18"/>
      <c r="EN48" s="21"/>
      <c r="EO48" s="22"/>
      <c r="EP48" s="22"/>
      <c r="ER48" s="18"/>
    </row>
    <row r="49" customFormat="false" ht="18" hidden="false" customHeight="false" outlineLevel="0" collapsed="false">
      <c r="CZ49" s="21" t="s">
        <v>31</v>
      </c>
      <c r="DA49" s="22" t="n">
        <v>0.905555555555556</v>
      </c>
      <c r="DB49" s="22" t="n">
        <v>0.906944444444444</v>
      </c>
      <c r="DC49" s="1" t="str">
        <f aca="false">"[""" &amp; CZ49 &amp; """, """ &amp; IF(DA49="","",TEXT(DA49,"h:mm")) &amp; """, """ &amp; IF(DB49="","",TEXT(DB49,"h:mm")) &amp; """],"</f>
        <v>["来居", "21:44", "21:46"],</v>
      </c>
      <c r="DD49" s="18" t="n">
        <f aca="false">IF(AND(LEN(DA49)&lt;&gt;0,LEN(DB49)&lt;&gt;0),((HOUR(DB49)*60)+MINUTE(DB49))-((HOUR(DA49)*60)+MINUTE(DA49)),"")</f>
        <v>2</v>
      </c>
      <c r="DE49" s="21" t="s">
        <v>31</v>
      </c>
      <c r="DF49" s="22" t="n">
        <v>0.905555555555556</v>
      </c>
      <c r="DG49" s="22" t="n">
        <v>0.906944444444444</v>
      </c>
      <c r="DH49" s="1" t="str">
        <f aca="false">"[""" &amp; DE49 &amp; """, """ &amp; IF(DF49="","",TEXT(DF49,"h:mm")) &amp; """, """ &amp; IF(DG49="","",TEXT(DG49,"h:mm")) &amp; """],"</f>
        <v>["来居", "21:44", "21:46"],</v>
      </c>
      <c r="DI49" s="18" t="n">
        <f aca="false">IF(AND(LEN(DF49)&lt;&gt;0,LEN(DG49)&lt;&gt;0),((HOUR(DG49)*60)+MINUTE(DG49))-((HOUR(DF49)*60)+MINUTE(DF49)),"")</f>
        <v>2</v>
      </c>
      <c r="DJ49" s="21" t="s">
        <v>31</v>
      </c>
      <c r="DK49" s="22" t="n">
        <v>0.905555555555556</v>
      </c>
      <c r="DL49" s="22" t="n">
        <v>0.906944444444444</v>
      </c>
      <c r="DM49" s="1" t="str">
        <f aca="false">"[""" &amp; DJ49 &amp; """, """ &amp; IF(DK49="","",TEXT(DK49,"h:mm")) &amp; """, """ &amp; IF(DL49="","",TEXT(DL49,"h:mm")) &amp; """],"</f>
        <v>["来居", "21:44", "21:46"],</v>
      </c>
      <c r="DN49" s="18" t="n">
        <f aca="false">IF(AND(LEN(DK49)&lt;&gt;0,LEN(DL49)&lt;&gt;0),((HOUR(DL49)*60)+MINUTE(DL49))-((HOUR(DK49)*60)+MINUTE(DK49)),"")</f>
        <v>2</v>
      </c>
      <c r="DO49" s="21" t="s">
        <v>31</v>
      </c>
      <c r="DP49" s="22" t="n">
        <v>0.905555555555556</v>
      </c>
      <c r="DQ49" s="22" t="n">
        <v>0.906944444444444</v>
      </c>
      <c r="DR49" s="1" t="str">
        <f aca="false">"[""" &amp; DO49 &amp; """, """ &amp; IF(DP49="","",TEXT(DP49,"h:mm")) &amp; """, """ &amp; IF(DQ49="","",TEXT(DQ49,"h:mm")) &amp; """],"</f>
        <v>["来居", "21:44", "21:46"],</v>
      </c>
      <c r="DS49" s="18" t="n">
        <f aca="false">IF(AND(LEN(DP49)&lt;&gt;0,LEN(DQ49)&lt;&gt;0),((HOUR(DQ49)*60)+MINUTE(DQ49))-((HOUR(DP49)*60)+MINUTE(DP49)),"")</f>
        <v>2</v>
      </c>
      <c r="DY49" s="21"/>
      <c r="DZ49" s="22"/>
      <c r="EA49" s="22"/>
      <c r="EC49" s="18"/>
      <c r="ED49" s="21"/>
      <c r="EE49" s="22"/>
      <c r="EF49" s="22"/>
      <c r="EH49" s="18"/>
      <c r="EI49" s="21"/>
      <c r="EJ49" s="22"/>
      <c r="EK49" s="22"/>
      <c r="EM49" s="18"/>
      <c r="EN49" s="21"/>
      <c r="EO49" s="22"/>
      <c r="EP49" s="22"/>
      <c r="ER49" s="18"/>
    </row>
    <row r="50" customFormat="false" ht="18" hidden="false" customHeight="false" outlineLevel="0" collapsed="false">
      <c r="CZ50" s="19" t="s">
        <v>30</v>
      </c>
      <c r="DA50" s="19" t="n">
        <v>0.921527777777778</v>
      </c>
      <c r="DB50" s="19" t="n">
        <v>0.922916666666667</v>
      </c>
      <c r="DC50" s="1" t="str">
        <f aca="false">"[""" &amp; CZ50 &amp; """, """ &amp; IF(DA50="","",TEXT(DA50,"h:mm")) &amp; """, """ &amp; IF(DB50="","",TEXT(DB50,"h:mm")) &amp; """],"</f>
        <v>["菱浦", "22:07", "22:09"],</v>
      </c>
      <c r="DD50" s="18" t="n">
        <f aca="false">IF(AND(LEN(DA50)&lt;&gt;0,LEN(DB50)&lt;&gt;0),((HOUR(DB50)*60)+MINUTE(DB50))-((HOUR(DA50)*60)+MINUTE(DA50)),"")</f>
        <v>2</v>
      </c>
      <c r="DE50" s="19" t="s">
        <v>30</v>
      </c>
      <c r="DF50" s="19" t="n">
        <v>0.921527777777778</v>
      </c>
      <c r="DG50" s="19" t="n">
        <v>0.922916666666667</v>
      </c>
      <c r="DH50" s="1" t="str">
        <f aca="false">"[""" &amp; DE50 &amp; """, """ &amp; IF(DF50="","",TEXT(DF50,"h:mm")) &amp; """, """ &amp; IF(DG50="","",TEXT(DG50,"h:mm")) &amp; """],"</f>
        <v>["菱浦", "22:07", "22:09"],</v>
      </c>
      <c r="DI50" s="18" t="n">
        <f aca="false">IF(AND(LEN(DF50)&lt;&gt;0,LEN(DG50)&lt;&gt;0),((HOUR(DG50)*60)+MINUTE(DG50))-((HOUR(DF50)*60)+MINUTE(DF50)),"")</f>
        <v>2</v>
      </c>
      <c r="DJ50" s="19" t="s">
        <v>30</v>
      </c>
      <c r="DK50" s="19" t="n">
        <v>0.921527777777778</v>
      </c>
      <c r="DL50" s="19" t="n">
        <v>0.922916666666667</v>
      </c>
      <c r="DM50" s="1" t="str">
        <f aca="false">"[""" &amp; DJ50 &amp; """, """ &amp; IF(DK50="","",TEXT(DK50,"h:mm")) &amp; """, """ &amp; IF(DL50="","",TEXT(DL50,"h:mm")) &amp; """],"</f>
        <v>["菱浦", "22:07", "22:09"],</v>
      </c>
      <c r="DN50" s="18" t="n">
        <f aca="false">IF(AND(LEN(DK50)&lt;&gt;0,LEN(DL50)&lt;&gt;0),((HOUR(DL50)*60)+MINUTE(DL50))-((HOUR(DK50)*60)+MINUTE(DK50)),"")</f>
        <v>2</v>
      </c>
      <c r="DO50" s="19" t="s">
        <v>30</v>
      </c>
      <c r="DP50" s="19" t="n">
        <v>0.921527777777778</v>
      </c>
      <c r="DQ50" s="19" t="n">
        <v>0.922916666666667</v>
      </c>
      <c r="DR50" s="1" t="str">
        <f aca="false">"[""" &amp; DO50 &amp; """, """ &amp; IF(DP50="","",TEXT(DP50,"h:mm")) &amp; """, """ &amp; IF(DQ50="","",TEXT(DQ50,"h:mm")) &amp; """],"</f>
        <v>["菱浦", "22:07", "22:09"],</v>
      </c>
      <c r="DS50" s="18" t="n">
        <f aca="false">IF(AND(LEN(DP50)&lt;&gt;0,LEN(DQ50)&lt;&gt;0),((HOUR(DQ50)*60)+MINUTE(DQ50))-((HOUR(DP50)*60)+MINUTE(DP50)),"")</f>
        <v>2</v>
      </c>
      <c r="DY50" s="19"/>
      <c r="DZ50" s="19"/>
      <c r="EA50" s="19"/>
      <c r="EC50" s="18"/>
      <c r="ED50" s="19"/>
      <c r="EE50" s="19"/>
      <c r="EF50" s="19"/>
      <c r="EH50" s="18"/>
      <c r="EI50" s="19"/>
      <c r="EJ50" s="19"/>
      <c r="EK50" s="19"/>
      <c r="EM50" s="18"/>
      <c r="EN50" s="19"/>
      <c r="EO50" s="19"/>
      <c r="EP50" s="19"/>
      <c r="ER50" s="18"/>
    </row>
    <row r="51" customFormat="false" ht="18" hidden="false" customHeight="false" outlineLevel="0" collapsed="false">
      <c r="CZ51" s="20" t="s">
        <v>29</v>
      </c>
      <c r="DA51" s="20" t="n">
        <v>0.928472222222222</v>
      </c>
      <c r="DC51" s="1" t="str">
        <f aca="false">"[""" &amp; CZ51 &amp; """, """ &amp; IF(DA51="","",TEXT(DA51,"h:mm")) &amp; """, """ &amp; IF(DB51="","",TEXT(DB51,"h:mm")) &amp; """]"</f>
        <v>["別府", "22:17", ""]</v>
      </c>
      <c r="DD51" s="18" t="str">
        <f aca="false">IF(AND(LEN(DA51)&lt;&gt;0,LEN(DB51)&lt;&gt;0),((HOUR(DB51)*60)+MINUTE(DB51))-((HOUR(DA51)*60)+MINUTE(DA51)),"")</f>
        <v/>
      </c>
      <c r="DE51" s="20" t="s">
        <v>29</v>
      </c>
      <c r="DF51" s="20" t="n">
        <v>0.928472222222222</v>
      </c>
      <c r="DH51" s="1" t="str">
        <f aca="false">"[""" &amp; DE51 &amp; """, """ &amp; IF(DF51="","",TEXT(DF51,"h:mm")) &amp; """, """ &amp; IF(DG51="","",TEXT(DG51,"h:mm")) &amp; """]"</f>
        <v>["別府", "22:17", ""]</v>
      </c>
      <c r="DI51" s="18" t="str">
        <f aca="false">IF(AND(LEN(DF51)&lt;&gt;0,LEN(DG51)&lt;&gt;0),((HOUR(DG51)*60)+MINUTE(DG51))-((HOUR(DF51)*60)+MINUTE(DF51)),"")</f>
        <v/>
      </c>
      <c r="DJ51" s="20" t="s">
        <v>29</v>
      </c>
      <c r="DK51" s="20" t="n">
        <v>0.928472222222222</v>
      </c>
      <c r="DM51" s="1" t="str">
        <f aca="false">"[""" &amp; DJ51 &amp; """, """ &amp; IF(DK51="","",TEXT(DK51,"h:mm")) &amp; """, """ &amp; IF(DL51="","",TEXT(DL51,"h:mm")) &amp; """]"</f>
        <v>["別府", "22:17", ""]</v>
      </c>
      <c r="DN51" s="18" t="str">
        <f aca="false">IF(AND(LEN(DK51)&lt;&gt;0,LEN(DL51)&lt;&gt;0),((HOUR(DL51)*60)+MINUTE(DL51))-((HOUR(DK51)*60)+MINUTE(DK51)),"")</f>
        <v/>
      </c>
      <c r="DO51" s="20" t="s">
        <v>29</v>
      </c>
      <c r="DP51" s="20" t="n">
        <v>0.928472222222222</v>
      </c>
      <c r="DR51" s="1" t="str">
        <f aca="false">"[""" &amp; DO51 &amp; """, """ &amp; IF(DP51="","",TEXT(DP51,"h:mm")) &amp; """, """ &amp; IF(DQ51="","",TEXT(DQ51,"h:mm")) &amp; """]"</f>
        <v>["別府", "22:17", ""]</v>
      </c>
      <c r="DS51" s="18" t="str">
        <f aca="false">IF(AND(LEN(DP51)&lt;&gt;0,LEN(DQ51)&lt;&gt;0),((HOUR(DQ51)*60)+MINUTE(DQ51))-((HOUR(DP51)*60)+MINUTE(DP51)),"")</f>
        <v/>
      </c>
      <c r="DY51" s="19"/>
      <c r="DZ51" s="19"/>
      <c r="EA51" s="19"/>
      <c r="EC51" s="18"/>
      <c r="ED51" s="19"/>
      <c r="EE51" s="19"/>
      <c r="EF51" s="19"/>
      <c r="EH51" s="18"/>
      <c r="EI51" s="19"/>
      <c r="EJ51" s="19"/>
      <c r="EK51" s="19"/>
      <c r="EM51" s="18"/>
      <c r="EN51" s="19"/>
      <c r="EO51" s="19"/>
      <c r="EP51" s="19"/>
      <c r="ER51" s="18"/>
    </row>
    <row r="52" customFormat="false" ht="18" hidden="false" customHeight="false" outlineLevel="0" collapsed="false">
      <c r="DC52" s="1" t="s">
        <v>33</v>
      </c>
      <c r="DD52" s="18" t="str">
        <f aca="false">IF(AND(LEN(DA52)&lt;&gt;0,LEN(DB52)&lt;&gt;0),((HOUR(DB52)*60)+MINUTE(DB52))-((HOUR(DA52)*60)+MINUTE(DA52)),"")</f>
        <v/>
      </c>
      <c r="DH52" s="1" t="s">
        <v>33</v>
      </c>
      <c r="DI52" s="18" t="str">
        <f aca="false">IF(AND(LEN(DF52)&lt;&gt;0,LEN(DG52)&lt;&gt;0),((HOUR(DG52)*60)+MINUTE(DG52))-((HOUR(DF52)*60)+MINUTE(DF52)),"")</f>
        <v/>
      </c>
      <c r="DM52" s="1" t="s">
        <v>33</v>
      </c>
      <c r="DN52" s="18" t="str">
        <f aca="false">IF(AND(LEN(DK52)&lt;&gt;0,LEN(DL52)&lt;&gt;0),((HOUR(DL52)*60)+MINUTE(DL52))-((HOUR(DK52)*60)+MINUTE(DK52)),"")</f>
        <v/>
      </c>
      <c r="DR52" s="1" t="s">
        <v>33</v>
      </c>
      <c r="DS52" s="18" t="str">
        <f aca="false">IF(AND(LEN(DP52)&lt;&gt;0,LEN(DQ52)&lt;&gt;0),((HOUR(DQ52)*60)+MINUTE(DQ52))-((HOUR(DP52)*60)+MINUTE(DP52)),"")</f>
        <v/>
      </c>
      <c r="DY52" s="21"/>
      <c r="DZ52" s="22"/>
      <c r="EA52" s="22"/>
      <c r="EC52" s="18"/>
      <c r="ED52" s="21"/>
      <c r="EE52" s="22"/>
      <c r="EF52" s="22"/>
      <c r="EH52" s="18"/>
      <c r="EI52" s="21"/>
      <c r="EJ52" s="22"/>
      <c r="EK52" s="22"/>
      <c r="EM52" s="18"/>
      <c r="EN52" s="21"/>
      <c r="EO52" s="22"/>
      <c r="EP52" s="22"/>
      <c r="ER52" s="18"/>
    </row>
  </sheetData>
  <mergeCells count="87">
    <mergeCell ref="B2:D2"/>
    <mergeCell ref="G2:I2"/>
    <mergeCell ref="L2:N2"/>
    <mergeCell ref="Q2:S2"/>
    <mergeCell ref="V2:X2"/>
    <mergeCell ref="AA2:AC2"/>
    <mergeCell ref="AF2:AH2"/>
    <mergeCell ref="AK2:AM2"/>
    <mergeCell ref="AP2:AR2"/>
    <mergeCell ref="AU2:AW2"/>
    <mergeCell ref="BA2:BC2"/>
    <mergeCell ref="BF2:BH2"/>
    <mergeCell ref="BK2:BM2"/>
    <mergeCell ref="BP2:BR2"/>
    <mergeCell ref="BU2:BW2"/>
    <mergeCell ref="CA2:CC2"/>
    <mergeCell ref="CF2:CH2"/>
    <mergeCell ref="CK2:CM2"/>
    <mergeCell ref="CP2:CR2"/>
    <mergeCell ref="CV2:CX2"/>
    <mergeCell ref="DA2:DC2"/>
    <mergeCell ref="DF2:DH2"/>
    <mergeCell ref="DK2:DM2"/>
    <mergeCell ref="DP2:DR2"/>
    <mergeCell ref="DU2:DW2"/>
    <mergeCell ref="DZ2:EB2"/>
    <mergeCell ref="EE2:EG2"/>
    <mergeCell ref="EJ2:EL2"/>
    <mergeCell ref="EO2:EQ2"/>
    <mergeCell ref="A3:B3"/>
    <mergeCell ref="C3:D3"/>
    <mergeCell ref="F3:G3"/>
    <mergeCell ref="H3:I3"/>
    <mergeCell ref="K3:L3"/>
    <mergeCell ref="M3:N3"/>
    <mergeCell ref="P3:Q3"/>
    <mergeCell ref="R3:S3"/>
    <mergeCell ref="U3:V3"/>
    <mergeCell ref="W3:X3"/>
    <mergeCell ref="Z3:AA3"/>
    <mergeCell ref="AB3:AC3"/>
    <mergeCell ref="AE3:AF3"/>
    <mergeCell ref="AG3:AH3"/>
    <mergeCell ref="AJ3:AK3"/>
    <mergeCell ref="AL3:AM3"/>
    <mergeCell ref="AO3:AP3"/>
    <mergeCell ref="AQ3:AR3"/>
    <mergeCell ref="AT3:AU3"/>
    <mergeCell ref="AV3:AW3"/>
    <mergeCell ref="AZ3:BA3"/>
    <mergeCell ref="BB3:BC3"/>
    <mergeCell ref="BE3:BF3"/>
    <mergeCell ref="BG3:BH3"/>
    <mergeCell ref="BJ3:BK3"/>
    <mergeCell ref="BL3:BM3"/>
    <mergeCell ref="BO3:BP3"/>
    <mergeCell ref="BQ3:BR3"/>
    <mergeCell ref="BT3:BU3"/>
    <mergeCell ref="BV3:BW3"/>
    <mergeCell ref="BZ3:CA3"/>
    <mergeCell ref="CB3:CC3"/>
    <mergeCell ref="CE3:CF3"/>
    <mergeCell ref="CG3:CH3"/>
    <mergeCell ref="CJ3:CK3"/>
    <mergeCell ref="CL3:CM3"/>
    <mergeCell ref="CO3:CP3"/>
    <mergeCell ref="CQ3:CR3"/>
    <mergeCell ref="CU3:CV3"/>
    <mergeCell ref="CW3:CX3"/>
    <mergeCell ref="CZ3:DA3"/>
    <mergeCell ref="DB3:DC3"/>
    <mergeCell ref="DE3:DF3"/>
    <mergeCell ref="DG3:DH3"/>
    <mergeCell ref="DJ3:DK3"/>
    <mergeCell ref="DL3:DM3"/>
    <mergeCell ref="DO3:DP3"/>
    <mergeCell ref="DQ3:DR3"/>
    <mergeCell ref="DT3:DU3"/>
    <mergeCell ref="DV3:DW3"/>
    <mergeCell ref="DY3:DZ3"/>
    <mergeCell ref="EA3:EB3"/>
    <mergeCell ref="ED3:EE3"/>
    <mergeCell ref="EF3:EG3"/>
    <mergeCell ref="EI3:EJ3"/>
    <mergeCell ref="EK3:EL3"/>
    <mergeCell ref="EN3:EO3"/>
    <mergeCell ref="EP3:EQ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963D94AF-7A4A-403E-98FC-431928813FA0}">
            <xm:f>NOT(ISERROR(SEARCH($A$1-2,A1)))</xm:f>
            <xm:f>$A$1-2</xm:f>
            <x14:dxf>
              <font>
                <color rgb="00FFFFFF"/>
              </font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1844F4C8-4B27-4434-B896-BC4E3037259D}">
            <xm:f>NOT(ISERROR(SEARCH($A$1-1,A1)))</xm:f>
            <xm:f>$A$1-1</xm:f>
            <x14:dxf>
              <font>
                <color rgb="FFC00000"/>
              </font>
            </x14:dxf>
          </x14:cfRule>
          <xm:sqref>1:1048576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DD7EE"/>
    <pageSetUpPr fitToPage="false"/>
  </sheetPr>
  <dimension ref="A1:ER52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C3" activeCellId="0" sqref="C3"/>
    </sheetView>
  </sheetViews>
  <sheetFormatPr defaultColWidth="5.6015625" defaultRowHeight="18" customHeight="false" zeroHeight="false" outlineLevelRow="0" outlineLevelCol="0"/>
  <cols>
    <col collapsed="false" customWidth="true" hidden="false" outlineLevel="0" max="1" min="1" style="1" width="10.5"/>
    <col collapsed="false" customWidth="true" hidden="false" outlineLevel="0" max="3" min="2" style="1" width="9"/>
    <col collapsed="false" customWidth="true" hidden="false" outlineLevel="0" max="4" min="4" style="1" width="24.1"/>
    <col collapsed="false" customWidth="true" hidden="false" outlineLevel="0" max="5" min="5" style="2" width="4.5"/>
    <col collapsed="false" customWidth="true" hidden="false" outlineLevel="0" max="6" min="6" style="1" width="6.5"/>
    <col collapsed="false" customWidth="true" hidden="false" outlineLevel="0" max="8" min="7" style="1" width="9"/>
    <col collapsed="false" customWidth="true" hidden="false" outlineLevel="0" max="9" min="9" style="1" width="24.1"/>
    <col collapsed="false" customWidth="true" hidden="false" outlineLevel="0" max="10" min="10" style="2" width="4.5"/>
    <col collapsed="false" customWidth="true" hidden="false" outlineLevel="0" max="11" min="11" style="1" width="10.5"/>
    <col collapsed="false" customWidth="true" hidden="false" outlineLevel="0" max="13" min="12" style="1" width="9"/>
    <col collapsed="false" customWidth="true" hidden="false" outlineLevel="0" max="14" min="14" style="1" width="24.1"/>
    <col collapsed="false" customWidth="true" hidden="false" outlineLevel="0" max="15" min="15" style="2" width="4.5"/>
    <col collapsed="false" customWidth="true" hidden="false" outlineLevel="0" max="16" min="16" style="1" width="6.5"/>
    <col collapsed="false" customWidth="true" hidden="false" outlineLevel="0" max="18" min="17" style="1" width="9"/>
    <col collapsed="false" customWidth="true" hidden="false" outlineLevel="0" max="19" min="19" style="1" width="24.1"/>
    <col collapsed="false" customWidth="true" hidden="false" outlineLevel="0" max="20" min="20" style="2" width="4.5"/>
    <col collapsed="false" customWidth="true" hidden="false" outlineLevel="0" max="21" min="21" style="1" width="5.5"/>
    <col collapsed="false" customWidth="true" hidden="false" outlineLevel="0" max="23" min="22" style="1" width="9"/>
    <col collapsed="false" customWidth="true" hidden="false" outlineLevel="0" max="24" min="24" style="1" width="24.1"/>
    <col collapsed="false" customWidth="true" hidden="false" outlineLevel="0" max="25" min="25" style="2" width="4.5"/>
    <col collapsed="false" customWidth="true" hidden="false" outlineLevel="0" max="26" min="26" style="1" width="5.5"/>
    <col collapsed="false" customWidth="true" hidden="false" outlineLevel="0" max="28" min="27" style="1" width="9"/>
    <col collapsed="false" customWidth="true" hidden="false" outlineLevel="0" max="29" min="29" style="1" width="24.1"/>
    <col collapsed="false" customWidth="true" hidden="false" outlineLevel="0" max="30" min="30" style="2" width="4.5"/>
    <col collapsed="false" customWidth="true" hidden="false" outlineLevel="0" max="31" min="31" style="1" width="5.5"/>
    <col collapsed="false" customWidth="true" hidden="false" outlineLevel="0" max="33" min="32" style="1" width="9"/>
    <col collapsed="false" customWidth="true" hidden="false" outlineLevel="0" max="34" min="34" style="1" width="24.1"/>
    <col collapsed="false" customWidth="true" hidden="false" outlineLevel="0" max="35" min="35" style="2" width="4.5"/>
    <col collapsed="false" customWidth="true" hidden="false" outlineLevel="0" max="36" min="36" style="1" width="5.5"/>
    <col collapsed="false" customWidth="true" hidden="false" outlineLevel="0" max="38" min="37" style="1" width="9"/>
    <col collapsed="false" customWidth="true" hidden="false" outlineLevel="0" max="39" min="39" style="1" width="24.1"/>
    <col collapsed="false" customWidth="true" hidden="false" outlineLevel="0" max="40" min="40" style="2" width="4.5"/>
    <col collapsed="false" customWidth="true" hidden="false" outlineLevel="0" max="41" min="41" style="1" width="5.5"/>
    <col collapsed="false" customWidth="true" hidden="false" outlineLevel="0" max="43" min="42" style="1" width="9"/>
    <col collapsed="false" customWidth="true" hidden="false" outlineLevel="0" max="44" min="44" style="1" width="24.1"/>
    <col collapsed="false" customWidth="true" hidden="false" outlineLevel="0" max="45" min="45" style="2" width="4.5"/>
    <col collapsed="false" customWidth="true" hidden="false" outlineLevel="0" max="46" min="46" style="1" width="5.5"/>
    <col collapsed="false" customWidth="true" hidden="false" outlineLevel="0" max="48" min="47" style="1" width="9"/>
    <col collapsed="false" customWidth="true" hidden="false" outlineLevel="0" max="49" min="49" style="1" width="24.1"/>
    <col collapsed="false" customWidth="true" hidden="false" outlineLevel="0" max="50" min="50" style="2" width="4.5"/>
    <col collapsed="false" customWidth="true" hidden="false" outlineLevel="0" max="51" min="51" style="3" width="3.6"/>
    <col collapsed="false" customWidth="true" hidden="false" outlineLevel="0" max="52" min="52" style="1" width="5.5"/>
    <col collapsed="false" customWidth="true" hidden="false" outlineLevel="0" max="54" min="53" style="1" width="9"/>
    <col collapsed="false" customWidth="true" hidden="false" outlineLevel="0" max="55" min="55" style="1" width="24.2"/>
    <col collapsed="false" customWidth="true" hidden="false" outlineLevel="0" max="56" min="56" style="2" width="4.5"/>
    <col collapsed="false" customWidth="true" hidden="false" outlineLevel="0" max="57" min="57" style="1" width="5.5"/>
    <col collapsed="false" customWidth="true" hidden="false" outlineLevel="0" max="59" min="58" style="1" width="9"/>
    <col collapsed="false" customWidth="true" hidden="false" outlineLevel="0" max="60" min="60" style="1" width="24.1"/>
    <col collapsed="false" customWidth="true" hidden="false" outlineLevel="0" max="61" min="61" style="2" width="4.5"/>
    <col collapsed="false" customWidth="true" hidden="false" outlineLevel="0" max="62" min="62" style="1" width="5.5"/>
    <col collapsed="false" customWidth="true" hidden="false" outlineLevel="0" max="64" min="63" style="1" width="9"/>
    <col collapsed="false" customWidth="true" hidden="false" outlineLevel="0" max="65" min="65" style="1" width="24.1"/>
    <col collapsed="false" customWidth="true" hidden="false" outlineLevel="0" max="66" min="66" style="2" width="4.5"/>
    <col collapsed="false" customWidth="true" hidden="false" outlineLevel="0" max="67" min="67" style="1" width="5.5"/>
    <col collapsed="false" customWidth="true" hidden="false" outlineLevel="0" max="69" min="68" style="1" width="9"/>
    <col collapsed="false" customWidth="true" hidden="false" outlineLevel="0" max="70" min="70" style="1" width="24.1"/>
    <col collapsed="false" customWidth="true" hidden="false" outlineLevel="0" max="71" min="71" style="2" width="4.5"/>
    <col collapsed="false" customWidth="true" hidden="false" outlineLevel="0" max="72" min="72" style="1" width="5.5"/>
    <col collapsed="false" customWidth="true" hidden="false" outlineLevel="0" max="74" min="73" style="1" width="9"/>
    <col collapsed="false" customWidth="true" hidden="false" outlineLevel="0" max="75" min="75" style="1" width="24.1"/>
    <col collapsed="false" customWidth="true" hidden="false" outlineLevel="0" max="76" min="76" style="2" width="4.5"/>
    <col collapsed="false" customWidth="true" hidden="false" outlineLevel="0" max="77" min="77" style="4" width="3.6"/>
    <col collapsed="false" customWidth="true" hidden="false" outlineLevel="0" max="78" min="78" style="1" width="5.5"/>
    <col collapsed="false" customWidth="true" hidden="false" outlineLevel="0" max="80" min="79" style="1" width="9"/>
    <col collapsed="false" customWidth="true" hidden="false" outlineLevel="0" max="81" min="81" style="1" width="24.1"/>
    <col collapsed="false" customWidth="true" hidden="false" outlineLevel="0" max="82" min="82" style="2" width="4.5"/>
    <col collapsed="false" customWidth="true" hidden="false" outlineLevel="0" max="83" min="83" style="1" width="5.5"/>
    <col collapsed="false" customWidth="true" hidden="false" outlineLevel="0" max="85" min="84" style="1" width="9"/>
    <col collapsed="false" customWidth="true" hidden="false" outlineLevel="0" max="86" min="86" style="1" width="24.1"/>
    <col collapsed="false" customWidth="true" hidden="false" outlineLevel="0" max="87" min="87" style="2" width="4.5"/>
    <col collapsed="false" customWidth="true" hidden="false" outlineLevel="0" max="88" min="88" style="1" width="7.7"/>
    <col collapsed="false" customWidth="true" hidden="false" outlineLevel="0" max="90" min="89" style="1" width="9"/>
    <col collapsed="false" customWidth="true" hidden="false" outlineLevel="0" max="91" min="91" style="1" width="24.1"/>
    <col collapsed="false" customWidth="true" hidden="false" outlineLevel="0" max="92" min="92" style="2" width="4.5"/>
    <col collapsed="false" customWidth="true" hidden="false" outlineLevel="0" max="93" min="93" style="1" width="7.7"/>
    <col collapsed="false" customWidth="true" hidden="false" outlineLevel="0" max="95" min="94" style="1" width="9"/>
    <col collapsed="false" customWidth="true" hidden="false" outlineLevel="0" max="96" min="96" style="1" width="24.1"/>
    <col collapsed="false" customWidth="true" hidden="false" outlineLevel="0" max="97" min="97" style="2" width="4.5"/>
    <col collapsed="false" customWidth="true" hidden="false" outlineLevel="0" max="98" min="98" style="5" width="3.6"/>
    <col collapsed="false" customWidth="true" hidden="false" outlineLevel="0" max="99" min="99" style="1" width="5.5"/>
    <col collapsed="false" customWidth="true" hidden="false" outlineLevel="0" max="101" min="100" style="1" width="9"/>
    <col collapsed="false" customWidth="true" hidden="false" outlineLevel="0" max="102" min="102" style="1" width="24.1"/>
    <col collapsed="false" customWidth="true" hidden="false" outlineLevel="0" max="103" min="103" style="2" width="4.5"/>
    <col collapsed="false" customWidth="true" hidden="false" outlineLevel="0" max="104" min="104" style="1" width="7.79"/>
    <col collapsed="false" customWidth="true" hidden="false" outlineLevel="0" max="106" min="105" style="1" width="9"/>
    <col collapsed="false" customWidth="true" hidden="false" outlineLevel="0" max="107" min="107" style="1" width="24.2"/>
    <col collapsed="false" customWidth="true" hidden="false" outlineLevel="0" max="108" min="108" style="2" width="3.6"/>
    <col collapsed="false" customWidth="true" hidden="false" outlineLevel="0" max="109" min="109" style="1" width="7.79"/>
    <col collapsed="false" customWidth="true" hidden="false" outlineLevel="0" max="111" min="110" style="1" width="9"/>
    <col collapsed="false" customWidth="true" hidden="false" outlineLevel="0" max="112" min="112" style="1" width="24.2"/>
    <col collapsed="false" customWidth="true" hidden="false" outlineLevel="0" max="113" min="113" style="2" width="3.6"/>
    <col collapsed="false" customWidth="true" hidden="false" outlineLevel="0" max="114" min="114" style="1" width="8.69"/>
    <col collapsed="false" customWidth="true" hidden="false" outlineLevel="0" max="116" min="115" style="1" width="9"/>
    <col collapsed="false" customWidth="true" hidden="false" outlineLevel="0" max="117" min="117" style="1" width="24.1"/>
    <col collapsed="false" customWidth="true" hidden="false" outlineLevel="0" max="118" min="118" style="6" width="3.6"/>
    <col collapsed="false" customWidth="true" hidden="false" outlineLevel="0" max="119" min="119" style="1" width="8.69"/>
    <col collapsed="false" customWidth="true" hidden="false" outlineLevel="0" max="121" min="120" style="1" width="9"/>
    <col collapsed="false" customWidth="true" hidden="false" outlineLevel="0" max="122" min="122" style="1" width="24.1"/>
    <col collapsed="false" customWidth="true" hidden="false" outlineLevel="0" max="123" min="123" style="6" width="3.6"/>
    <col collapsed="false" customWidth="true" hidden="false" outlineLevel="0" max="124" min="124" style="1" width="5.5"/>
    <col collapsed="false" customWidth="true" hidden="false" outlineLevel="0" max="126" min="125" style="1" width="9"/>
    <col collapsed="false" customWidth="true" hidden="false" outlineLevel="0" max="127" min="127" style="1" width="24.1"/>
    <col collapsed="false" customWidth="true" hidden="false" outlineLevel="0" max="128" min="128" style="2" width="4.5"/>
    <col collapsed="false" customWidth="true" hidden="false" outlineLevel="0" max="129" min="129" style="1" width="8.69"/>
    <col collapsed="false" customWidth="true" hidden="false" outlineLevel="0" max="131" min="130" style="1" width="9"/>
    <col collapsed="false" customWidth="true" hidden="false" outlineLevel="0" max="132" min="132" style="1" width="24.2"/>
    <col collapsed="false" customWidth="true" hidden="false" outlineLevel="0" max="133" min="133" style="2" width="3.6"/>
    <col collapsed="false" customWidth="true" hidden="false" outlineLevel="0" max="134" min="134" style="1" width="8.69"/>
    <col collapsed="false" customWidth="true" hidden="false" outlineLevel="0" max="136" min="135" style="1" width="9"/>
    <col collapsed="false" customWidth="true" hidden="false" outlineLevel="0" max="137" min="137" style="1" width="24.2"/>
    <col collapsed="false" customWidth="true" hidden="false" outlineLevel="0" max="138" min="138" style="2" width="3.6"/>
    <col collapsed="false" customWidth="true" hidden="false" outlineLevel="0" max="139" min="139" style="1" width="8.69"/>
    <col collapsed="false" customWidth="true" hidden="false" outlineLevel="0" max="141" min="140" style="1" width="9"/>
    <col collapsed="false" customWidth="true" hidden="false" outlineLevel="0" max="142" min="142" style="1" width="24.2"/>
    <col collapsed="false" customWidth="true" hidden="false" outlineLevel="0" max="143" min="143" style="2" width="3.6"/>
    <col collapsed="false" customWidth="true" hidden="false" outlineLevel="0" max="144" min="144" style="1" width="8.69"/>
    <col collapsed="false" customWidth="true" hidden="false" outlineLevel="0" max="146" min="145" style="1" width="9"/>
    <col collapsed="false" customWidth="true" hidden="false" outlineLevel="0" max="147" min="147" style="1" width="24.2"/>
    <col collapsed="false" customWidth="true" hidden="false" outlineLevel="0" max="148" min="148" style="2" width="3.6"/>
    <col collapsed="false" customWidth="false" hidden="false" outlineLevel="0" max="16384" min="149" style="1" width="5.6"/>
  </cols>
  <sheetData>
    <row r="1" customFormat="false" ht="22.05" hidden="false" customHeight="false" outlineLevel="0" collapsed="false">
      <c r="A1" s="7" t="n">
        <v>2026</v>
      </c>
    </row>
    <row r="2" s="8" customFormat="true" ht="45.75" hidden="false" customHeight="true" outlineLevel="0" collapsed="false">
      <c r="A2" s="8" t="str">
        <f aca="false">$A$1&amp;"厳冬、初冬入渠、減便"</f>
        <v>2026厳冬、初冬入渠、減便</v>
      </c>
      <c r="B2" s="9" t="s">
        <v>34</v>
      </c>
      <c r="C2" s="9"/>
      <c r="D2" s="9"/>
      <c r="E2" s="10" t="str">
        <f aca="false">IF(B2=G2, "=", "")</f>
        <v>=</v>
      </c>
      <c r="F2" s="8" t="str">
        <f aca="false">$A$1&amp;"厳冬、初冬入渠、減便"</f>
        <v>2026厳冬、初冬入渠、減便</v>
      </c>
      <c r="G2" s="9" t="s">
        <v>34</v>
      </c>
      <c r="H2" s="9"/>
      <c r="I2" s="9"/>
      <c r="J2" s="10" t="str">
        <f aca="false">IF(G2=L2, "=", "")</f>
        <v/>
      </c>
      <c r="K2" s="8" t="str">
        <f aca="false">$A$1&amp;"厳冬、初冬入渠、減便"</f>
        <v>2026厳冬、初冬入渠、減便</v>
      </c>
      <c r="L2" s="9" t="s">
        <v>35</v>
      </c>
      <c r="M2" s="9"/>
      <c r="N2" s="9"/>
      <c r="O2" s="10" t="str">
        <f aca="false">IF(L2=Q2, "=", "")</f>
        <v>=</v>
      </c>
      <c r="P2" s="8" t="str">
        <f aca="false">$A$1&amp;"厳冬、初冬入渠、減便"</f>
        <v>2026厳冬、初冬入渠、減便</v>
      </c>
      <c r="Q2" s="9" t="s">
        <v>35</v>
      </c>
      <c r="R2" s="9"/>
      <c r="S2" s="9"/>
      <c r="T2" s="10" t="str">
        <f aca="false">IF(Q2=V2, "=", "")</f>
        <v/>
      </c>
      <c r="U2" s="8" t="str">
        <f aca="false">$A$1&amp;"通常"</f>
        <v>2026通常</v>
      </c>
      <c r="V2" s="9" t="s">
        <v>36</v>
      </c>
      <c r="W2" s="9"/>
      <c r="X2" s="9"/>
      <c r="Y2" s="10" t="str">
        <f aca="false">IF(V2=AA2, "=", "")</f>
        <v>=</v>
      </c>
      <c r="Z2" s="8" t="str">
        <f aca="false">$A$1&amp;"通常"</f>
        <v>2026通常</v>
      </c>
      <c r="AA2" s="9" t="s">
        <v>36</v>
      </c>
      <c r="AB2" s="9"/>
      <c r="AC2" s="9"/>
      <c r="AD2" s="10" t="str">
        <f aca="false">IF(AA2=AF2, "=", "")</f>
        <v>=</v>
      </c>
      <c r="AE2" s="8" t="str">
        <f aca="false">$A$1&amp;"通常"</f>
        <v>2026通常</v>
      </c>
      <c r="AF2" s="9" t="s">
        <v>36</v>
      </c>
      <c r="AG2" s="9"/>
      <c r="AH2" s="9"/>
      <c r="AI2" s="10" t="str">
        <f aca="false">IF(AF2=AK2, "=", "")</f>
        <v/>
      </c>
      <c r="AJ2" s="8" t="str">
        <f aca="false">$A$1&amp;"盆"</f>
        <v>2026盆</v>
      </c>
      <c r="AK2" s="9" t="s">
        <v>37</v>
      </c>
      <c r="AL2" s="9"/>
      <c r="AM2" s="9"/>
      <c r="AN2" s="10" t="str">
        <f aca="false">IF(AK2=AP2, "=", "")</f>
        <v>=</v>
      </c>
      <c r="AO2" s="8" t="str">
        <f aca="false">$A$1&amp;"盆"</f>
        <v>2026盆</v>
      </c>
      <c r="AP2" s="9" t="s">
        <v>37</v>
      </c>
      <c r="AQ2" s="9"/>
      <c r="AR2" s="9"/>
      <c r="AS2" s="10" t="str">
        <f aca="false">IF(AP2=AU2, "=", "")</f>
        <v>=</v>
      </c>
      <c r="AT2" s="8" t="str">
        <f aca="false">$A$1&amp;"盆"</f>
        <v>2026盆</v>
      </c>
      <c r="AU2" s="9" t="s">
        <v>37</v>
      </c>
      <c r="AV2" s="9"/>
      <c r="AW2" s="9"/>
      <c r="AX2" s="10"/>
      <c r="AY2" s="11"/>
      <c r="AZ2" s="8" t="str">
        <f aca="false">$A$1&amp;"年度末"</f>
        <v>2026年度末</v>
      </c>
      <c r="BA2" s="9" t="s">
        <v>38</v>
      </c>
      <c r="BB2" s="9"/>
      <c r="BC2" s="9"/>
      <c r="BD2" s="10" t="str">
        <f aca="false">IF(BA2=BF2, "=", "")</f>
        <v/>
      </c>
      <c r="BE2" s="8" t="str">
        <f aca="false">$A$1&amp;"春初夏"</f>
        <v>2026春初夏</v>
      </c>
      <c r="BF2" s="9" t="s">
        <v>39</v>
      </c>
      <c r="BG2" s="9"/>
      <c r="BH2" s="9"/>
      <c r="BI2" s="10" t="str">
        <f aca="false">IF(BF2=BK2, "=", "")</f>
        <v/>
      </c>
      <c r="BJ2" s="8" t="str">
        <f aca="false">$A$1&amp;"GW夏休み"</f>
        <v>2026GW夏休み</v>
      </c>
      <c r="BK2" s="9" t="s">
        <v>40</v>
      </c>
      <c r="BL2" s="9"/>
      <c r="BM2" s="9"/>
      <c r="BN2" s="10" t="str">
        <f aca="false">IF(BK2=BP2, "=", "")</f>
        <v/>
      </c>
      <c r="BO2" s="8" t="str">
        <f aca="false">$A$1&amp;"秋"</f>
        <v>2026秋</v>
      </c>
      <c r="BP2" s="9" t="s">
        <v>41</v>
      </c>
      <c r="BQ2" s="9"/>
      <c r="BR2" s="9"/>
      <c r="BS2" s="10" t="str">
        <f aca="false">IF(BP2=BU2, "=", "")</f>
        <v/>
      </c>
      <c r="BT2" s="8" t="str">
        <f aca="false">$A$1&amp;"初冬"</f>
        <v>2026初冬</v>
      </c>
      <c r="BU2" s="9" t="s">
        <v>42</v>
      </c>
      <c r="BV2" s="9"/>
      <c r="BW2" s="9"/>
      <c r="BX2" s="10"/>
      <c r="BY2" s="12"/>
      <c r="BZ2" s="8" t="str">
        <f aca="false">$A$1&amp;"年末年始"</f>
        <v>2026年末年始</v>
      </c>
      <c r="CA2" s="9" t="s">
        <v>43</v>
      </c>
      <c r="CB2" s="9"/>
      <c r="CC2" s="9"/>
      <c r="CD2" s="10" t="str">
        <f aca="false">IF(CA2=CF2, "=", "")</f>
        <v/>
      </c>
      <c r="CE2" s="8" t="str">
        <f aca="false">$A$1&amp;"元日"</f>
        <v>2026元日</v>
      </c>
      <c r="CF2" s="9" t="s">
        <v>44</v>
      </c>
      <c r="CG2" s="9"/>
      <c r="CH2" s="9"/>
      <c r="CI2" s="10" t="str">
        <f aca="false">IF(CF2=CK2, "=", "")</f>
        <v/>
      </c>
      <c r="CJ2" s="8" t="str">
        <f aca="false">$A$1&amp;"通常、汽船２隻"</f>
        <v>2026通常、汽船２隻</v>
      </c>
      <c r="CK2" s="9" t="s">
        <v>45</v>
      </c>
      <c r="CL2" s="9"/>
      <c r="CM2" s="9"/>
      <c r="CN2" s="10" t="str">
        <f aca="false">IF(CK2=CP2, "=", "")</f>
        <v/>
      </c>
      <c r="CO2" s="8" t="str">
        <f aca="false">$A$1&amp;"通常、汽船３隻"</f>
        <v>2026通常、汽船３隻</v>
      </c>
      <c r="CP2" s="9" t="s">
        <v>46</v>
      </c>
      <c r="CQ2" s="9"/>
      <c r="CR2" s="9"/>
      <c r="CS2" s="10"/>
      <c r="CT2" s="13"/>
      <c r="CU2" s="8" t="str">
        <f aca="false">$A$1&amp;"年末年始"</f>
        <v>2026年末年始</v>
      </c>
      <c r="CV2" s="9" t="s">
        <v>47</v>
      </c>
      <c r="CW2" s="9"/>
      <c r="CX2" s="9"/>
      <c r="CY2" s="10" t="str">
        <f aca="false">IF(CV2=DA2, "=", "")</f>
        <v/>
      </c>
      <c r="CZ2" s="8" t="str">
        <f aca="false">$A$1&amp;"通常、汽船２隻"</f>
        <v>2026通常、汽船２隻</v>
      </c>
      <c r="DA2" s="9" t="s">
        <v>48</v>
      </c>
      <c r="DB2" s="9"/>
      <c r="DC2" s="9"/>
      <c r="DD2" s="10" t="str">
        <f aca="false">IF(DA2=DF2, "=", "")</f>
        <v/>
      </c>
      <c r="DE2" s="8" t="str">
        <f aca="false">$A$1&amp;"通常、汽船３隻"</f>
        <v>2026通常、汽船３隻</v>
      </c>
      <c r="DF2" s="9" t="s">
        <v>49</v>
      </c>
      <c r="DG2" s="9"/>
      <c r="DH2" s="9"/>
      <c r="DI2" s="10" t="str">
        <f aca="false">IF(DF2=DK2, "=", "")</f>
        <v/>
      </c>
      <c r="DJ2" s="8" t="str">
        <f aca="false">$A$1&amp;"一部変更、汽船２隻"</f>
        <v>2026一部変更、汽船２隻</v>
      </c>
      <c r="DK2" s="9" t="s">
        <v>50</v>
      </c>
      <c r="DL2" s="9"/>
      <c r="DM2" s="9"/>
      <c r="DN2" s="10" t="str">
        <f aca="false">IF(DK2=DP2, "=", "")</f>
        <v/>
      </c>
      <c r="DO2" s="8" t="str">
        <f aca="false">$A$1&amp;"一部変更、汽船３隻"</f>
        <v>2026一部変更、汽船３隻</v>
      </c>
      <c r="DP2" s="9" t="s">
        <v>51</v>
      </c>
      <c r="DQ2" s="9"/>
      <c r="DR2" s="9"/>
      <c r="DS2" s="10" t="str">
        <f aca="false">IF(DP2=DU2, "=", "")</f>
        <v/>
      </c>
      <c r="DT2" s="8" t="str">
        <f aca="false">$A$1&amp;"年末年始"</f>
        <v>2026年末年始</v>
      </c>
      <c r="DU2" s="9" t="s">
        <v>47</v>
      </c>
      <c r="DV2" s="9"/>
      <c r="DW2" s="9"/>
      <c r="DX2" s="10" t="str">
        <f aca="false">IF(DU2=DZ2, "=", "")</f>
        <v/>
      </c>
      <c r="DY2" s="8" t="str">
        <f aca="false">$A$1&amp;"通常、汽船２隻"</f>
        <v>2026通常、汽船２隻</v>
      </c>
      <c r="DZ2" s="9" t="s">
        <v>48</v>
      </c>
      <c r="EA2" s="9"/>
      <c r="EB2" s="9"/>
      <c r="EC2" s="10" t="str">
        <f aca="false">IF(DZ2=EE2, "=", "")</f>
        <v/>
      </c>
      <c r="ED2" s="8" t="str">
        <f aca="false">$A$1&amp;"通常、汽船３隻"</f>
        <v>2026通常、汽船３隻</v>
      </c>
      <c r="EE2" s="9" t="s">
        <v>49</v>
      </c>
      <c r="EF2" s="9"/>
      <c r="EG2" s="9"/>
      <c r="EH2" s="10" t="str">
        <f aca="false">IF(EE2=EJ2, "=", "")</f>
        <v/>
      </c>
      <c r="EI2" s="8" t="str">
        <f aca="false">$A$1&amp;"一部変更、汽船２隻"</f>
        <v>2026一部変更、汽船２隻</v>
      </c>
      <c r="EJ2" s="9" t="s">
        <v>50</v>
      </c>
      <c r="EK2" s="9"/>
      <c r="EL2" s="9"/>
      <c r="EM2" s="10" t="str">
        <f aca="false">IF(EJ2=EO2, "=", "")</f>
        <v/>
      </c>
      <c r="EN2" s="8" t="str">
        <f aca="false">$A$1&amp;"一部変更、汽船３隻"</f>
        <v>2026一部変更、汽船３隻</v>
      </c>
      <c r="EO2" s="9" t="s">
        <v>51</v>
      </c>
      <c r="EP2" s="9"/>
      <c r="EQ2" s="9"/>
      <c r="ER2" s="10"/>
    </row>
    <row r="3" s="8" customFormat="true" ht="18.75" hidden="false" customHeight="true" outlineLevel="0" collapsed="false">
      <c r="A3" s="14"/>
      <c r="B3" s="14"/>
      <c r="C3" s="14" t="str">
        <f aca="false">IF(A3="", "", ", ""rinji"":"""&amp;A3&amp;"""")</f>
        <v/>
      </c>
      <c r="D3" s="14"/>
      <c r="E3" s="10"/>
      <c r="F3" s="14"/>
      <c r="G3" s="14"/>
      <c r="H3" s="14" t="str">
        <f aca="false">IF(F3="", "", ", ""rinji"":"""&amp;F3&amp;"""")</f>
        <v/>
      </c>
      <c r="I3" s="14"/>
      <c r="J3" s="10"/>
      <c r="K3" s="14"/>
      <c r="L3" s="14"/>
      <c r="M3" s="14" t="str">
        <f aca="false">IF(K3="", "", ", ""rinji"":"""&amp;K3&amp;"""")</f>
        <v/>
      </c>
      <c r="N3" s="14"/>
      <c r="O3" s="10"/>
      <c r="P3" s="14"/>
      <c r="Q3" s="14"/>
      <c r="R3" s="14" t="str">
        <f aca="false">IF(P3="", "", ", ""rinji"":"""&amp;P3&amp;"""")</f>
        <v/>
      </c>
      <c r="S3" s="14"/>
      <c r="T3" s="10"/>
      <c r="U3" s="14"/>
      <c r="V3" s="14"/>
      <c r="W3" s="14" t="str">
        <f aca="false">IF(U3="", "", ", ""rinji"":"""&amp;U3&amp;"""")</f>
        <v/>
      </c>
      <c r="X3" s="14"/>
      <c r="Y3" s="10"/>
      <c r="Z3" s="14"/>
      <c r="AA3" s="14"/>
      <c r="AB3" s="14" t="str">
        <f aca="false">IF(Z3="", "", ", ""rinji"":"""&amp;Z3&amp;"""")</f>
        <v/>
      </c>
      <c r="AC3" s="14"/>
      <c r="AD3" s="10"/>
      <c r="AE3" s="14"/>
      <c r="AF3" s="14"/>
      <c r="AG3" s="14" t="str">
        <f aca="false">IF(AE3="", "", ", ""rinji"":"""&amp;AE3&amp;"""")</f>
        <v/>
      </c>
      <c r="AH3" s="14"/>
      <c r="AI3" s="10"/>
      <c r="AJ3" s="14"/>
      <c r="AK3" s="14"/>
      <c r="AL3" s="14" t="str">
        <f aca="false">IF(AJ3="", "", ", ""rinji"":"""&amp;AJ3&amp;"""")</f>
        <v/>
      </c>
      <c r="AM3" s="14"/>
      <c r="AN3" s="10"/>
      <c r="AO3" s="14"/>
      <c r="AP3" s="14"/>
      <c r="AQ3" s="14" t="str">
        <f aca="false">IF(AO3="", "", ", ""rinji"":"""&amp;AO3&amp;"""")</f>
        <v/>
      </c>
      <c r="AR3" s="14"/>
      <c r="AS3" s="10"/>
      <c r="AT3" s="14"/>
      <c r="AU3" s="14"/>
      <c r="AV3" s="14" t="str">
        <f aca="false">IF(AT3="", "", ", ""rinji"":"""&amp;AT3&amp;"""")</f>
        <v/>
      </c>
      <c r="AW3" s="14"/>
      <c r="AX3" s="10"/>
      <c r="AY3" s="11"/>
      <c r="AZ3" s="14"/>
      <c r="BA3" s="14"/>
      <c r="BB3" s="14" t="str">
        <f aca="false">IF(AZ3="", "", ", ""rinji"":"""&amp;AZ3&amp;"""")</f>
        <v/>
      </c>
      <c r="BC3" s="14"/>
      <c r="BD3" s="10"/>
      <c r="BE3" s="14"/>
      <c r="BF3" s="14"/>
      <c r="BG3" s="14" t="str">
        <f aca="false">IF(BE3="", "", ", ""rinji"":"""&amp;BE3&amp;"""")</f>
        <v/>
      </c>
      <c r="BH3" s="14"/>
      <c r="BI3" s="10"/>
      <c r="BJ3" s="14"/>
      <c r="BK3" s="14"/>
      <c r="BL3" s="14" t="str">
        <f aca="false">IF(BJ3="", "", ", ""rinji"":"""&amp;BJ3&amp;"""")</f>
        <v/>
      </c>
      <c r="BM3" s="14"/>
      <c r="BN3" s="10"/>
      <c r="BO3" s="14"/>
      <c r="BP3" s="14"/>
      <c r="BQ3" s="14" t="str">
        <f aca="false">IF(BO3="", "", ", ""rinji"":"""&amp;BO3&amp;"""")</f>
        <v/>
      </c>
      <c r="BR3" s="14"/>
      <c r="BS3" s="10"/>
      <c r="BT3" s="14"/>
      <c r="BU3" s="14"/>
      <c r="BV3" s="14" t="str">
        <f aca="false">IF(BT3="", "", ", ""rinji"":"""&amp;BT3&amp;"""")</f>
        <v/>
      </c>
      <c r="BW3" s="14"/>
      <c r="BX3" s="10"/>
      <c r="BY3" s="12"/>
      <c r="BZ3" s="14"/>
      <c r="CA3" s="14"/>
      <c r="CB3" s="14" t="str">
        <f aca="false">IF(BZ3="", "", ", ""rinji"":"""&amp;BZ3&amp;"""")</f>
        <v/>
      </c>
      <c r="CC3" s="14"/>
      <c r="CD3" s="10"/>
      <c r="CE3" s="14"/>
      <c r="CF3" s="14"/>
      <c r="CG3" s="14" t="str">
        <f aca="false">IF(CE3="", "", ", ""rinji"":"""&amp;CE3&amp;"""")</f>
        <v/>
      </c>
      <c r="CH3" s="14"/>
      <c r="CI3" s="10"/>
      <c r="CJ3" s="14"/>
      <c r="CK3" s="14"/>
      <c r="CL3" s="14" t="str">
        <f aca="false">IF(CJ3="", "", ", ""rinji"":"""&amp;CJ3&amp;"""")</f>
        <v/>
      </c>
      <c r="CM3" s="14"/>
      <c r="CN3" s="10"/>
      <c r="CO3" s="14"/>
      <c r="CP3" s="14"/>
      <c r="CQ3" s="14" t="str">
        <f aca="false">IF(CO3="", "", ", ""rinji"":"""&amp;CO3&amp;"""")</f>
        <v/>
      </c>
      <c r="CR3" s="14"/>
      <c r="CS3" s="10"/>
      <c r="CT3" s="13"/>
      <c r="CU3" s="14"/>
      <c r="CV3" s="14"/>
      <c r="CW3" s="14" t="str">
        <f aca="false">IF(CU3="", "", ", ""rinji"":"""&amp;CU3&amp;"""")</f>
        <v/>
      </c>
      <c r="CX3" s="14"/>
      <c r="CY3" s="10"/>
      <c r="CZ3" s="14"/>
      <c r="DA3" s="14"/>
      <c r="DB3" s="14" t="str">
        <f aca="false">IF(CZ3="", "", ", ""rinji"":"""&amp;CZ3&amp;"""")</f>
        <v/>
      </c>
      <c r="DC3" s="14"/>
      <c r="DD3" s="10"/>
      <c r="DE3" s="14"/>
      <c r="DF3" s="14"/>
      <c r="DG3" s="14" t="str">
        <f aca="false">IF(DE3="", "", ", ""rinji"":"""&amp;DE3&amp;"""")</f>
        <v/>
      </c>
      <c r="DH3" s="14"/>
      <c r="DI3" s="10"/>
      <c r="DJ3" s="14"/>
      <c r="DK3" s="14"/>
      <c r="DL3" s="14" t="str">
        <f aca="false">IF(DJ3="", "", ", ""rinji"":"""&amp;DJ3&amp;"""")</f>
        <v/>
      </c>
      <c r="DM3" s="14"/>
      <c r="DN3" s="10"/>
      <c r="DO3" s="14"/>
      <c r="DP3" s="14"/>
      <c r="DQ3" s="14" t="str">
        <f aca="false">IF(DO3="", "", ", ""rinji"":"""&amp;DO3&amp;"""")</f>
        <v/>
      </c>
      <c r="DR3" s="14"/>
      <c r="DS3" s="10"/>
      <c r="DT3" s="14" t="s">
        <v>18</v>
      </c>
      <c r="DU3" s="14"/>
      <c r="DV3" s="14" t="str">
        <f aca="false">IF(DT3="", "", ", ""rinji"":"""&amp;DT3&amp;"""")</f>
        <v>, "rinji":"来居欠航時"</v>
      </c>
      <c r="DW3" s="14"/>
      <c r="DX3" s="10"/>
      <c r="DY3" s="14" t="s">
        <v>18</v>
      </c>
      <c r="DZ3" s="14"/>
      <c r="EA3" s="14" t="str">
        <f aca="false">IF(DY3="", "", ", ""rinji"":"""&amp;DY3&amp;"""")</f>
        <v>, "rinji":"来居欠航時"</v>
      </c>
      <c r="EB3" s="14"/>
      <c r="EC3" s="10"/>
      <c r="ED3" s="14" t="s">
        <v>18</v>
      </c>
      <c r="EE3" s="14"/>
      <c r="EF3" s="14" t="str">
        <f aca="false">IF(ED3="", "", ", ""rinji"":"""&amp;ED3&amp;"""")</f>
        <v>, "rinji":"来居欠航時"</v>
      </c>
      <c r="EG3" s="14"/>
      <c r="EH3" s="10"/>
      <c r="EI3" s="14" t="s">
        <v>18</v>
      </c>
      <c r="EJ3" s="14"/>
      <c r="EK3" s="14" t="str">
        <f aca="false">IF(EI3="", "", ", ""rinji"":"""&amp;EI3&amp;"""")</f>
        <v>, "rinji":"来居欠航時"</v>
      </c>
      <c r="EL3" s="14"/>
      <c r="EM3" s="10"/>
      <c r="EN3" s="14" t="s">
        <v>18</v>
      </c>
      <c r="EO3" s="14"/>
      <c r="EP3" s="14" t="str">
        <f aca="false">IF(EN3="", "", ", ""rinji"":"""&amp;EN3&amp;"""")</f>
        <v>, "rinji":"来居欠航時"</v>
      </c>
      <c r="EQ3" s="14"/>
      <c r="ER3" s="10"/>
    </row>
    <row r="4" customFormat="false" ht="96.75" hidden="false" customHeight="true" outlineLevel="0" collapsed="false">
      <c r="A4" s="8" t="s">
        <v>19</v>
      </c>
      <c r="B4" s="1" t="s">
        <v>20</v>
      </c>
      <c r="C4" s="1" t="s">
        <v>21</v>
      </c>
      <c r="D4" s="15" t="str">
        <f aca="false">"{""ship"":""" &amp; A4 &amp; """, " &amp; B2 &amp; C3 &amp; ", ""info"":""" &amp; A2 &amp; """, ""data"":["</f>
        <v>{"ship":"フェリーおき", "spans":["2026/1/1-2026/2/28"], "days":[], "info":"2026厳冬、初冬入渠、減便", "data":[</v>
      </c>
      <c r="F4" s="8" t="s">
        <v>22</v>
      </c>
      <c r="G4" s="1" t="s">
        <v>20</v>
      </c>
      <c r="H4" s="1" t="s">
        <v>21</v>
      </c>
      <c r="I4" s="15" t="str">
        <f aca="false">"{""ship"":""" &amp; F4 &amp; """, " &amp; G2 &amp; H3 &amp; ", ""info"":""" &amp; F2 &amp; """, ""data"":["</f>
        <v>{"ship":"フェリーしらしま", "spans":["2026/1/1-2026/2/28"], "days":[], "info":"2026厳冬、初冬入渠、減便", "data":[</v>
      </c>
      <c r="K4" s="8" t="s">
        <v>19</v>
      </c>
      <c r="L4" s="1" t="s">
        <v>20</v>
      </c>
      <c r="M4" s="1" t="s">
        <v>21</v>
      </c>
      <c r="N4" s="15" t="str">
        <f aca="false">"{""ship"":""" &amp; K4 &amp; """, " &amp; L2 &amp; M3 &amp; ", ""info"":""" &amp; K2 &amp; """, ""data"":["</f>
        <v>{"ship":"フェリーおき", "spans":["2026/3/1-2026/3/8", "2026/6/1-2026/8/7", "2026/8/17-2026/12/31"], "days":[], "info":"2026厳冬、初冬入渠、減便", "data":[</v>
      </c>
      <c r="P4" s="8" t="s">
        <v>22</v>
      </c>
      <c r="Q4" s="1" t="s">
        <v>20</v>
      </c>
      <c r="R4" s="1" t="s">
        <v>21</v>
      </c>
      <c r="S4" s="15" t="str">
        <f aca="false">"{""ship"":""" &amp; P4 &amp; """, " &amp; Q2 &amp; R3 &amp; ", ""info"":""" &amp; P2 &amp; """, ""data"":["</f>
        <v>{"ship":"フェリーしらしま", "spans":["2026/3/1-2026/3/8", "2026/6/1-2026/8/7", "2026/8/17-2026/12/31"], "days":[], "info":"2026厳冬、初冬入渠、減便", "data":[</v>
      </c>
      <c r="U4" s="8" t="s">
        <v>19</v>
      </c>
      <c r="V4" s="1" t="s">
        <v>20</v>
      </c>
      <c r="W4" s="1" t="s">
        <v>21</v>
      </c>
      <c r="X4" s="8" t="str">
        <f aca="false">"{""ship"":""" &amp; U4 &amp; """, " &amp; V2 &amp; W3 &amp; ", ""info"":""" &amp; U2 &amp; """, ""data"":["</f>
        <v>{"ship":"フェリーおき", "spans":["2026/3/9-2026/5/31"], "days":[], "info":"2026通常", "data":[</v>
      </c>
      <c r="Z4" s="8" t="s">
        <v>23</v>
      </c>
      <c r="AA4" s="1" t="s">
        <v>20</v>
      </c>
      <c r="AB4" s="1" t="s">
        <v>21</v>
      </c>
      <c r="AC4" s="8" t="str">
        <f aca="false">"{""ship"":""" &amp; Z4 &amp; """, " &amp; AA2 &amp; AB3 &amp; ", ""info"":""" &amp; Z2 &amp; """, ""data"":["</f>
        <v>{"ship":"フェリーくにが", "spans":["2026/3/9-2026/5/31"], "days":[], "info":"2026通常", "data":[</v>
      </c>
      <c r="AE4" s="8" t="s">
        <v>22</v>
      </c>
      <c r="AF4" s="1" t="s">
        <v>20</v>
      </c>
      <c r="AG4" s="1" t="s">
        <v>21</v>
      </c>
      <c r="AH4" s="8" t="str">
        <f aca="false">"{""ship"":""" &amp; AE4 &amp; """, " &amp; AF2 &amp; AG3 &amp; ", ""info"":""" &amp; AE2 &amp; """, ""data"":["</f>
        <v>{"ship":"フェリーしらしま", "spans":["2026/3/9-2026/5/31"], "days":[], "info":"2026通常", "data":[</v>
      </c>
      <c r="AJ4" s="8" t="s">
        <v>19</v>
      </c>
      <c r="AK4" s="1" t="s">
        <v>20</v>
      </c>
      <c r="AL4" s="1" t="s">
        <v>21</v>
      </c>
      <c r="AM4" s="8" t="str">
        <f aca="false">"{""ship"":""" &amp; AJ4 &amp; """, " &amp; AK2 &amp; AL3 &amp; ", ""info"":""" &amp; AJ2 &amp; """, ""data"":["</f>
        <v>{"ship":"フェリーおき", "spans":["2026/8/8-2026/8/16"], "days":[], "info":"2026盆", "data":[</v>
      </c>
      <c r="AO4" s="8" t="s">
        <v>23</v>
      </c>
      <c r="AP4" s="1" t="s">
        <v>20</v>
      </c>
      <c r="AQ4" s="1" t="s">
        <v>21</v>
      </c>
      <c r="AR4" s="8" t="str">
        <f aca="false">"{""ship"":""" &amp; AO4 &amp; """, " &amp; AP2 &amp; AQ3 &amp; ", ""info"":""" &amp; AO2 &amp; """, ""data"":["</f>
        <v>{"ship":"フェリーくにが", "spans":["2026/8/8-2026/8/16"], "days":[], "info":"2026盆", "data":[</v>
      </c>
      <c r="AT4" s="8" t="s">
        <v>22</v>
      </c>
      <c r="AU4" s="1" t="s">
        <v>20</v>
      </c>
      <c r="AV4" s="1" t="s">
        <v>21</v>
      </c>
      <c r="AW4" s="8" t="str">
        <f aca="false">"{""ship"":""" &amp; AT4 &amp; """, " &amp; AU2 &amp; AV3 &amp; ", ""info"":""" &amp; AT2 &amp; """, ""data"":["</f>
        <v>{"ship":"フェリーしらしま", "spans":["2026/8/8-2026/8/16"], "days":[], "info":"2026盆", "data":[</v>
      </c>
      <c r="AZ4" s="8" t="s">
        <v>24</v>
      </c>
      <c r="BA4" s="1" t="s">
        <v>20</v>
      </c>
      <c r="BB4" s="1" t="s">
        <v>21</v>
      </c>
      <c r="BC4" s="8" t="str">
        <f aca="false">"{""ship"":""" &amp; AZ4 &amp; """, " &amp; BA2 &amp; BB3 &amp; ", ""info"":""" &amp; AZ2 &amp; """, ""data"":["</f>
        <v>{"ship":"レインボージェット", "spans":["2026/3/1-2026/3/31"], "days":[], "info":"2026年度末", "data":[</v>
      </c>
      <c r="BE4" s="8" t="s">
        <v>24</v>
      </c>
      <c r="BF4" s="1" t="s">
        <v>20</v>
      </c>
      <c r="BG4" s="1" t="s">
        <v>21</v>
      </c>
      <c r="BH4" s="8" t="str">
        <f aca="false">"{""ship"":""" &amp; BE4 &amp; """, " &amp; BF2 &amp; BG3 &amp; ", ""info"":""" &amp; BE2 &amp; """, ""data"":["</f>
        <v>{"ship":"レインボージェット", "spans":["2026/4/1-2026/4/30", "2026/5/7-2026/5/24", "2026/5/30-2026/8/7", "2026/8/17-2026/8/31"], "days":[], "info":"2026春初夏", "data":[</v>
      </c>
      <c r="BJ4" s="8" t="s">
        <v>24</v>
      </c>
      <c r="BK4" s="1" t="s">
        <v>20</v>
      </c>
      <c r="BL4" s="1" t="s">
        <v>21</v>
      </c>
      <c r="BM4" s="8" t="str">
        <f aca="false">"{""ship"":""" &amp; BJ4 &amp; """, " &amp; BK2 &amp; BL3 &amp; ", ""info"":""" &amp; BJ2 &amp; """, ""data"":["</f>
        <v>{"ship":"レインボージェット", "spans":["2026/5/1-2026/5/6", "2026/8/8-2026/8/16"], "days":[], "info":"2026GW夏休み", "data":[</v>
      </c>
      <c r="BO4" s="8" t="s">
        <v>24</v>
      </c>
      <c r="BP4" s="1" t="s">
        <v>20</v>
      </c>
      <c r="BQ4" s="1" t="s">
        <v>21</v>
      </c>
      <c r="BR4" s="8" t="str">
        <f aca="false">"{""ship"":""" &amp; BO4 &amp; """, " &amp; BP2 &amp; BQ3 &amp; ", ""info"":""" &amp; BO2 &amp; """, ""data"":["</f>
        <v>{"ship":"レインボージェット", "spans":["2026/9/1-2026/10/31"], "days":[], "info":"2026秋", "data":[</v>
      </c>
      <c r="BT4" s="8" t="s">
        <v>24</v>
      </c>
      <c r="BU4" s="1" t="s">
        <v>20</v>
      </c>
      <c r="BV4" s="1" t="s">
        <v>21</v>
      </c>
      <c r="BW4" s="8" t="str">
        <f aca="false">"{""ship"":""" &amp; BT4 &amp; """, " &amp; BU2 &amp; BV3 &amp; ", ""info"":""" &amp; BT2 &amp; """, ""data"":["</f>
        <v>{"ship":"レインボージェット", "spans":["2026/11/1-2026/11/30"], "days":[], "info":"2026初冬", "data":[</v>
      </c>
      <c r="BZ4" s="8" t="s">
        <v>25</v>
      </c>
      <c r="CA4" s="1" t="s">
        <v>20</v>
      </c>
      <c r="CB4" s="1" t="s">
        <v>21</v>
      </c>
      <c r="CC4" s="8" t="str">
        <f aca="false">"{""ship"":""" &amp; BZ4 &amp; """, " &amp; CA2 &amp; CB3 &amp; ", ""info"":""" &amp; BZ2 &amp; """, ""data"":["</f>
        <v>{"ship":"フェリーどうぜん", "spans":["2026/1/2-2026/1/3"], "days":["2025/12/31"], "info":"2026年末年始", "data":[</v>
      </c>
      <c r="CE4" s="8" t="s">
        <v>25</v>
      </c>
      <c r="CF4" s="1" t="s">
        <v>20</v>
      </c>
      <c r="CG4" s="1" t="s">
        <v>21</v>
      </c>
      <c r="CH4" s="8" t="str">
        <f aca="false">"{""ship"":""" &amp; CE4 &amp; """, " &amp; CF2 &amp; CG3 &amp; ", ""info"":""" &amp; CE2 &amp; """, ""data"":["</f>
        <v>{"ship":"フェリーどうぜん", "spans":[], "days":["2026/1/1"], "info":"2026元日", "data":[</v>
      </c>
      <c r="CJ4" s="8" t="s">
        <v>25</v>
      </c>
      <c r="CK4" s="1" t="s">
        <v>20</v>
      </c>
      <c r="CL4" s="1" t="s">
        <v>21</v>
      </c>
      <c r="CM4" s="8" t="str">
        <f aca="false">"{""ship"":""" &amp; CJ4 &amp; """, " &amp; CK2 &amp; CL3 &amp; ", ""info"":""" &amp; CJ2 &amp; """, ""data"":["</f>
        <v>{"ship":"フェリーどうぜん", "spans":["2026/1/4-2026/3/8", "2026/6/1-2026/7/17", "2026/9/1-2026/10/9", "2026/11/9-2026/12/20"], "days":[], "info":"2026通常、汽船２隻", "data":[</v>
      </c>
      <c r="CO4" s="8" t="s">
        <v>25</v>
      </c>
      <c r="CP4" s="1" t="s">
        <v>20</v>
      </c>
      <c r="CQ4" s="1" t="s">
        <v>21</v>
      </c>
      <c r="CR4" s="8" t="str">
        <f aca="false">"{""ship"":""" &amp; CO4 &amp; """, " &amp; CP2 &amp; CQ3 &amp; ", ""info"":""" &amp; CO2 &amp; """, ""data"":["</f>
        <v>{"ship":"フェリーどうぜん", "spans":["2026/3/9-2026/5/31", "2026/7/18-2026/8/31", "2026/10/10-2026/11/8", "2026/12/21-2026/12/30"], "days":[], "info":"2026通常、汽船３隻", "data":[</v>
      </c>
      <c r="CU4" s="8" t="s">
        <v>26</v>
      </c>
      <c r="CV4" s="1" t="s">
        <v>20</v>
      </c>
      <c r="CW4" s="1" t="s">
        <v>21</v>
      </c>
      <c r="CX4" s="8" t="str">
        <f aca="false">"{""ship"":""" &amp; CU4 &amp; """, " &amp; CV2 &amp; CW3 &amp; ", ""info"":""" &amp; CU2 &amp; """, ""data"":["</f>
        <v>{"ship":"いそかぜ", "spans":["2025/12/31-2026/1/3"], "days":[], "info":"2026年末年始", "data":[</v>
      </c>
      <c r="CZ4" s="8" t="s">
        <v>26</v>
      </c>
      <c r="DA4" s="1" t="s">
        <v>20</v>
      </c>
      <c r="DB4" s="1" t="s">
        <v>21</v>
      </c>
      <c r="DC4" s="8" t="str">
        <f aca="false">"{""ship"":""" &amp; CZ4 &amp; """, " &amp; DA2 &amp; DB3 &amp; ", ""info"":""" &amp; CZ2 &amp; """, ""data"":["</f>
        <v>{"ship":"いそかぜ", "spans":["2026/1/4-2026/2/28", "2026/6/1-2026/7/17", "2026/11/9-2026/12/20"], "days":[], "info":"2026通常、汽船２隻", "data":[</v>
      </c>
      <c r="DE4" s="8" t="s">
        <v>26</v>
      </c>
      <c r="DF4" s="1" t="s">
        <v>20</v>
      </c>
      <c r="DG4" s="1" t="s">
        <v>21</v>
      </c>
      <c r="DH4" s="8" t="str">
        <f aca="false">"{""ship"":""" &amp; DE4 &amp; """, " &amp; DF2 &amp; DG3 &amp; ", ""info"":""" &amp; DE2 &amp; """, ""data"":["</f>
        <v>{"ship":"いそかぜ", "spans":["2026/4/1-2026/5/31", "2026/7/18-2026/8/31", "2026/11/1-2026/11/8", "2026/12/21-2026/12/30"], "days":[], "info":"2026通常、汽船３隻", "data":[</v>
      </c>
      <c r="DJ4" s="8" t="s">
        <v>26</v>
      </c>
      <c r="DK4" s="1" t="s">
        <v>20</v>
      </c>
      <c r="DL4" s="1" t="s">
        <v>21</v>
      </c>
      <c r="DM4" s="8" t="str">
        <f aca="false">"{""ship"":""" &amp; DJ4 &amp; """, " &amp; DK2 &amp; DL3 &amp; ", ""info"":""" &amp; DJ2 &amp; """, ""data"":["</f>
        <v>{"ship":"いそかぜ", "spans":["2026/3/1-2026/3/8", "2026/9/1-2026/10/9"], "days":[], "info":"2026一部変更、汽船２隻", "data":[</v>
      </c>
      <c r="DO4" s="8" t="s">
        <v>26</v>
      </c>
      <c r="DP4" s="1" t="s">
        <v>20</v>
      </c>
      <c r="DQ4" s="1" t="s">
        <v>21</v>
      </c>
      <c r="DR4" s="8" t="str">
        <f aca="false">"{""ship"":""" &amp; DO4 &amp; """, " &amp; DP2 &amp; DQ3 &amp; ", ""info"":""" &amp; DO2 &amp; """, ""data"":["</f>
        <v>{"ship":"いそかぜ", "spans":["2026/3/9-2026/3/31", "2026/10/10-2026/10/31"], "days":[], "info":"2026一部変更、汽船３隻", "data":[</v>
      </c>
      <c r="DT4" s="8" t="s">
        <v>26</v>
      </c>
      <c r="DU4" s="1" t="s">
        <v>20</v>
      </c>
      <c r="DV4" s="1" t="s">
        <v>21</v>
      </c>
      <c r="DW4" s="8" t="str">
        <f aca="false">"{""ship"":""" &amp; DT4 &amp; """, " &amp; DU2 &amp; DV3 &amp; ", ""info"":""" &amp; DT2 &amp; """, ""data"":["</f>
        <v>{"ship":"いそかぜ", "spans":["2025/12/31-2026/1/3"], "days":[], "rinji":"来居欠航時", "info":"2026年末年始", "data":[</v>
      </c>
      <c r="DY4" s="8" t="s">
        <v>26</v>
      </c>
      <c r="DZ4" s="1" t="s">
        <v>20</v>
      </c>
      <c r="EA4" s="1" t="s">
        <v>21</v>
      </c>
      <c r="EB4" s="8" t="str">
        <f aca="false">"{""ship"":""" &amp; DY4 &amp; """, " &amp; DZ2 &amp; EA3 &amp; ", ""info"":""" &amp; DY2 &amp; """, ""data"":["</f>
        <v>{"ship":"いそかぜ", "spans":["2026/1/4-2026/2/28", "2026/6/1-2026/7/17", "2026/11/9-2026/12/20"], "days":[], "rinji":"来居欠航時", "info":"2026通常、汽船２隻", "data":[</v>
      </c>
      <c r="ED4" s="8" t="s">
        <v>26</v>
      </c>
      <c r="EE4" s="1" t="s">
        <v>20</v>
      </c>
      <c r="EF4" s="1" t="s">
        <v>21</v>
      </c>
      <c r="EG4" s="8" t="str">
        <f aca="false">"{""ship"":""" &amp; ED4 &amp; """, " &amp; EE2 &amp; EF3 &amp; ", ""info"":""" &amp; ED2 &amp; """, ""data"":["</f>
        <v>{"ship":"いそかぜ", "spans":["2026/4/1-2026/5/31", "2026/7/18-2026/8/31", "2026/11/1-2026/11/8", "2026/12/21-2026/12/30"], "days":[], "rinji":"来居欠航時", "info":"2026通常、汽船３隻", "data":[</v>
      </c>
      <c r="EI4" s="8" t="s">
        <v>26</v>
      </c>
      <c r="EJ4" s="1" t="s">
        <v>20</v>
      </c>
      <c r="EK4" s="1" t="s">
        <v>21</v>
      </c>
      <c r="EL4" s="8" t="str">
        <f aca="false">"{""ship"":""" &amp; EI4 &amp; """, " &amp; EJ2 &amp; EK3 &amp; ", ""info"":""" &amp; EI2 &amp; """, ""data"":["</f>
        <v>{"ship":"いそかぜ", "spans":["2026/3/1-2026/3/8", "2026/9/1-2026/10/9"], "days":[], "rinji":"来居欠航時", "info":"2026一部変更、汽船２隻", "data":[</v>
      </c>
      <c r="EN4" s="8" t="s">
        <v>26</v>
      </c>
      <c r="EO4" s="1" t="s">
        <v>20</v>
      </c>
      <c r="EP4" s="1" t="s">
        <v>21</v>
      </c>
      <c r="EQ4" s="8" t="str">
        <f aca="false">"{""ship"":""" &amp; EN4 &amp; """, " &amp; EO2 &amp; EP3 &amp; ", ""info"":""" &amp; EN2 &amp; """, ""data"":["</f>
        <v>{"ship":"いそかぜ", "spans":["2026/3/9-2026/3/31", "2026/10/10-2026/10/31"], "days":[], "rinji":"来居欠航時", "info":"2026一部変更、汽船３隻", "data":[</v>
      </c>
    </row>
    <row r="5" customFormat="false" ht="18" hidden="false" customHeight="false" outlineLevel="0" collapsed="false">
      <c r="A5" s="16" t="s">
        <v>27</v>
      </c>
      <c r="B5" s="16"/>
      <c r="C5" s="17" t="n">
        <v>0.375</v>
      </c>
      <c r="D5" s="1" t="str">
        <f aca="false">"[""" &amp; A5 &amp; """, """ &amp; IF(B5="","",TEXT(B5,"h:mm")) &amp; """, """ &amp; IF(C5="","",TEXT(C5,"h:mm")) &amp; """],"</f>
        <v>["七類", "", "9:00"],</v>
      </c>
      <c r="E5" s="18" t="str">
        <f aca="false">IF(AND(LEN(B5)&lt;&gt;0,LEN(C5)&lt;&gt;0),((HOUR(C5)*60)+MINUTE(C5))-((HOUR(B5)*60)+MINUTE(B5)),"")</f>
        <v/>
      </c>
      <c r="F5" s="16" t="s">
        <v>28</v>
      </c>
      <c r="G5" s="16"/>
      <c r="H5" s="17" t="n">
        <v>0.354166666666667</v>
      </c>
      <c r="I5" s="1" t="str">
        <f aca="false">"[""" &amp; F5 &amp; """, """ &amp; IF(G5="","",TEXT(G5,"h:mm")) &amp; """, """ &amp; IF(H5="","",TEXT(H5,"h:mm")) &amp; """],"</f>
        <v>["西郷", "", "8:30"],</v>
      </c>
      <c r="J5" s="18" t="str">
        <f aca="false">IF(AND(LEN(G5)&lt;&gt;0,LEN(H5)&lt;&gt;0),((HOUR(H5)*60)+MINUTE(H5))-((HOUR(G5)*60)+MINUTE(G5)),"")</f>
        <v/>
      </c>
      <c r="K5" s="16" t="s">
        <v>27</v>
      </c>
      <c r="L5" s="16"/>
      <c r="M5" s="17" t="n">
        <v>0.375</v>
      </c>
      <c r="N5" s="1" t="str">
        <f aca="false">"[""" &amp; K5 &amp; """, """ &amp; IF(L5="","",TEXT(L5,"h:mm")) &amp; """, """ &amp; IF(M5="","",TEXT(M5,"h:mm")) &amp; """],"</f>
        <v>["七類", "", "9:00"],</v>
      </c>
      <c r="O5" s="18" t="str">
        <f aca="false">IF(AND(LEN(L5)&lt;&gt;0,LEN(M5)&lt;&gt;0),((HOUR(M5)*60)+MINUTE(M5))-((HOUR(L5)*60)+MINUTE(L5)),"")</f>
        <v/>
      </c>
      <c r="P5" s="16" t="s">
        <v>28</v>
      </c>
      <c r="Q5" s="16"/>
      <c r="R5" s="17" t="n">
        <v>0.354166666666667</v>
      </c>
      <c r="S5" s="1" t="str">
        <f aca="false">"[""" &amp; P5 &amp; """, """ &amp; IF(Q5="","",TEXT(Q5,"h:mm")) &amp; """, """ &amp; IF(R5="","",TEXT(R5,"h:mm")) &amp; """],"</f>
        <v>["西郷", "", "8:30"],</v>
      </c>
      <c r="T5" s="18" t="str">
        <f aca="false">IF(AND(LEN(Q5)&lt;&gt;0,LEN(R5)&lt;&gt;0),((HOUR(R5)*60)+MINUTE(R5))-((HOUR(Q5)*60)+MINUTE(Q5)),"")</f>
        <v/>
      </c>
      <c r="U5" s="16" t="s">
        <v>27</v>
      </c>
      <c r="V5" s="16"/>
      <c r="W5" s="17" t="n">
        <v>0.375</v>
      </c>
      <c r="X5" s="1" t="str">
        <f aca="false">"[""" &amp; U5 &amp; """, """ &amp; IF(V5="","",TEXT(V5,"h:mm")) &amp; """, """ &amp; IF(W5="","",TEXT(W5,"h:mm")) &amp; """],"</f>
        <v>["七類", "", "9:00"],</v>
      </c>
      <c r="Y5" s="18" t="str">
        <f aca="false">IF(AND(LEN(V5)&lt;&gt;0,LEN(W5)&lt;&gt;0),((HOUR(W5)*60)+MINUTE(W5))-((HOUR(V5)*60)+MINUTE(V5)),"")</f>
        <v/>
      </c>
      <c r="Z5" s="16" t="s">
        <v>27</v>
      </c>
      <c r="AA5" s="16"/>
      <c r="AB5" s="17" t="n">
        <v>0.395833333333333</v>
      </c>
      <c r="AC5" s="1" t="str">
        <f aca="false">"[""" &amp; Z5 &amp; """, """ &amp; IF(AA5="","",TEXT(AA5,"h:mm")) &amp; """, """ &amp; IF(AB5="","",TEXT(AB5,"h:mm")) &amp; """],"</f>
        <v>["七類", "", "9:30"],</v>
      </c>
      <c r="AD5" s="18" t="str">
        <f aca="false">IF(AND(LEN(AA5)&lt;&gt;0,LEN(AB5)&lt;&gt;0),((HOUR(AB5)*60)+MINUTE(AB5))-((HOUR(AA5)*60)+MINUTE(AA5)),"")</f>
        <v/>
      </c>
      <c r="AE5" s="16" t="s">
        <v>28</v>
      </c>
      <c r="AF5" s="16"/>
      <c r="AG5" s="17" t="n">
        <v>0.354166666666667</v>
      </c>
      <c r="AH5" s="1" t="str">
        <f aca="false">"[""" &amp; AE5 &amp; """, """ &amp; IF(AF5="","",TEXT(AF5,"h:mm")) &amp; """, """ &amp; IF(AG5="","",TEXT(AG5,"h:mm")) &amp; """],"</f>
        <v>["西郷", "", "8:30"],</v>
      </c>
      <c r="AI5" s="18" t="str">
        <f aca="false">IF(AND(LEN(AF5)&lt;&gt;0,LEN(AG5)&lt;&gt;0),((HOUR(AG5)*60)+MINUTE(AG5))-((HOUR(AF5)*60)+MINUTE(AF5)),"")</f>
        <v/>
      </c>
      <c r="AJ5" s="16" t="s">
        <v>27</v>
      </c>
      <c r="AK5" s="16"/>
      <c r="AL5" s="17" t="n">
        <v>0.375</v>
      </c>
      <c r="AM5" s="1" t="str">
        <f aca="false">"[""" &amp; AJ5 &amp; """, """ &amp; IF(AK5="","",TEXT(AK5,"h:mm")) &amp; """, """ &amp; IF(AL5="","",TEXT(AL5,"h:mm")) &amp; """],"</f>
        <v>["七類", "", "9:00"],</v>
      </c>
      <c r="AN5" s="18" t="str">
        <f aca="false">IF(AND(LEN(AK5)&lt;&gt;0,LEN(AL5)&lt;&gt;0),((HOUR(AL5)*60)+MINUTE(AL5))-((HOUR(AK5)*60)+MINUTE(AK5)),"")</f>
        <v/>
      </c>
      <c r="AO5" s="16" t="s">
        <v>27</v>
      </c>
      <c r="AP5" s="16"/>
      <c r="AQ5" s="17" t="n">
        <v>0.395833333333333</v>
      </c>
      <c r="AR5" s="1" t="str">
        <f aca="false">"[""" &amp; AO5 &amp; """, """ &amp; IF(AP5="","",TEXT(AP5,"h:mm")) &amp; """, """ &amp; IF(AQ5="","",TEXT(AQ5,"h:mm")) &amp; """],"</f>
        <v>["七類", "", "9:30"],</v>
      </c>
      <c r="AS5" s="18" t="str">
        <f aca="false">IF(AND(LEN(AP5)&lt;&gt;0,LEN(AQ5)&lt;&gt;0),((HOUR(AQ5)*60)+MINUTE(AQ5))-((HOUR(AP5)*60)+MINUTE(AP5)),"")</f>
        <v/>
      </c>
      <c r="AT5" s="16" t="s">
        <v>28</v>
      </c>
      <c r="AU5" s="16"/>
      <c r="AV5" s="17" t="n">
        <v>0.354166666666667</v>
      </c>
      <c r="AW5" s="1" t="str">
        <f aca="false">"[""" &amp; AT5 &amp; """, """ &amp; IF(AU5="","",TEXT(AU5,"h:mm")) &amp; """, """ &amp; IF(AV5="","",TEXT(AV5,"h:mm")) &amp; """],"</f>
        <v>["西郷", "", "8:30"],</v>
      </c>
      <c r="AX5" s="18" t="str">
        <f aca="false">IF(AND(LEN(AU5)&lt;&gt;0,LEN(AV5)&lt;&gt;0),((HOUR(AV5)*60)+MINUTE(AV5))-((HOUR(AU5)*60)+MINUTE(AU5)),"")</f>
        <v/>
      </c>
      <c r="AZ5" s="16" t="s">
        <v>29</v>
      </c>
      <c r="BA5" s="16"/>
      <c r="BB5" s="16" t="n">
        <v>0.333333333333333</v>
      </c>
      <c r="BC5" s="1" t="str">
        <f aca="false">"[""" &amp; AZ5 &amp; """, """ &amp; IF(BA5="","",TEXT(BA5,"h:mm")) &amp; """, """ &amp; IF(BB5="","",TEXT(BB5,"h:mm")) &amp; """],"</f>
        <v>["別府", "", "8:00"],</v>
      </c>
      <c r="BD5" s="18" t="str">
        <f aca="false">IF(AND(LEN(BA5)&lt;&gt;0,LEN(BB5)&lt;&gt;0),((HOUR(BB5)*60)+MINUTE(BB5))-((HOUR(BA5)*60)+MINUTE(BA5)),"")</f>
        <v/>
      </c>
      <c r="BE5" s="16" t="s">
        <v>29</v>
      </c>
      <c r="BF5" s="16"/>
      <c r="BG5" s="16" t="n">
        <v>0.333333333333333</v>
      </c>
      <c r="BH5" s="1" t="str">
        <f aca="false">"[""" &amp; BE5 &amp; """, """ &amp; IF(BF5="","",TEXT(BF5,"h:mm")) &amp; """, """ &amp; IF(BG5="","",TEXT(BG5,"h:mm")) &amp; """],"</f>
        <v>["別府", "", "8:00"],</v>
      </c>
      <c r="BI5" s="18" t="str">
        <f aca="false">IF(AND(LEN(BF5)&lt;&gt;0,LEN(BG5)&lt;&gt;0),((HOUR(BG5)*60)+MINUTE(BG5))-((HOUR(BF5)*60)+MINUTE(BF5)),"")</f>
        <v/>
      </c>
      <c r="BJ5" s="16" t="s">
        <v>29</v>
      </c>
      <c r="BK5" s="16"/>
      <c r="BL5" s="16" t="n">
        <v>0.319444444444445</v>
      </c>
      <c r="BM5" s="1" t="str">
        <f aca="false">"[""" &amp; BJ5 &amp; """, """ &amp; IF(BK5="","",TEXT(BK5,"h:mm")) &amp; """, """ &amp; IF(BL5="","",TEXT(BL5,"h:mm")) &amp; """],"</f>
        <v>["別府", "", "7:40"],</v>
      </c>
      <c r="BN5" s="18" t="str">
        <f aca="false">IF(AND(LEN(BK5)&lt;&gt;0,LEN(BL5)&lt;&gt;0),((HOUR(BL5)*60)+MINUTE(BL5))-((HOUR(BK5)*60)+MINUTE(BK5)),"")</f>
        <v/>
      </c>
      <c r="BO5" s="16" t="s">
        <v>29</v>
      </c>
      <c r="BP5" s="16"/>
      <c r="BQ5" s="16" t="n">
        <v>0.333333333333333</v>
      </c>
      <c r="BR5" s="1" t="str">
        <f aca="false">"[""" &amp; BO5 &amp; """, """ &amp; IF(BP5="","",TEXT(BP5,"h:mm")) &amp; """, """ &amp; IF(BQ5="","",TEXT(BQ5,"h:mm")) &amp; """],"</f>
        <v>["別府", "", "8:00"],</v>
      </c>
      <c r="BS5" s="18" t="str">
        <f aca="false">IF(AND(LEN(BP5)&lt;&gt;0,LEN(BQ5)&lt;&gt;0),((HOUR(BQ5)*60)+MINUTE(BQ5))-((HOUR(BP5)*60)+MINUTE(BP5)),"")</f>
        <v/>
      </c>
      <c r="BT5" s="16" t="s">
        <v>29</v>
      </c>
      <c r="BU5" s="16"/>
      <c r="BV5" s="16" t="n">
        <v>0.333333333333333</v>
      </c>
      <c r="BW5" s="1" t="str">
        <f aca="false">"[""" &amp; BT5 &amp; """, """ &amp; IF(BU5="","",TEXT(BU5,"h:mm")) &amp; """, """ &amp; IF(BV5="","",TEXT(BV5,"h:mm")) &amp; """],"</f>
        <v>["別府", "", "8:00"],</v>
      </c>
      <c r="BX5" s="18" t="str">
        <f aca="false">IF(AND(LEN(BU5)&lt;&gt;0,LEN(BV5)&lt;&gt;0),((HOUR(BV5)*60)+MINUTE(BV5))-((HOUR(BU5)*60)+MINUTE(BU5)),"")</f>
        <v/>
      </c>
      <c r="BZ5" s="19" t="s">
        <v>30</v>
      </c>
      <c r="CB5" s="19" t="n">
        <v>0.385416666666667</v>
      </c>
      <c r="CC5" s="1" t="str">
        <f aca="false">"[""" &amp; BZ5 &amp; """, """ &amp; IF(CA5="","",TEXT(CA5,"h:mm")) &amp; """, """ &amp; IF(CB5="","",TEXT(CB5,"h:mm")) &amp; """],"</f>
        <v>["菱浦", "", "9:15"],</v>
      </c>
      <c r="CD5" s="18" t="str">
        <f aca="false">IF(AND(LEN(CA5)&lt;&gt;0,LEN(CB5)&lt;&gt;0),((HOUR(CB5)*60)+MINUTE(CB5))-((HOUR(CA5)*60)+MINUTE(CA5)),"")</f>
        <v/>
      </c>
      <c r="CE5" s="19" t="s">
        <v>30</v>
      </c>
      <c r="CG5" s="19" t="n">
        <v>0.645833333333333</v>
      </c>
      <c r="CH5" s="1" t="str">
        <f aca="false">"[""" &amp; CE5 &amp; """, """ &amp; IF(CF5="","",TEXT(CF5,"h:mm")) &amp; """, """ &amp; IF(CG5="","",TEXT(CG5,"h:mm")) &amp; """],"</f>
        <v>["菱浦", "", "15:30"],</v>
      </c>
      <c r="CI5" s="18" t="str">
        <f aca="false">IF(AND(LEN(CF5)&lt;&gt;0,LEN(CG5)&lt;&gt;0),((HOUR(CG5)*60)+MINUTE(CG5))-((HOUR(CF5)*60)+MINUTE(CF5)),"")</f>
        <v/>
      </c>
      <c r="CJ5" s="19" t="s">
        <v>30</v>
      </c>
      <c r="CK5" s="19"/>
      <c r="CL5" s="19" t="n">
        <v>0.3125</v>
      </c>
      <c r="CM5" s="1" t="str">
        <f aca="false">"[""" &amp; CJ5 &amp; """, """ &amp; IF(CK5="","",TEXT(CK5,"h:mm")) &amp; """, """ &amp; IF(CL5="","",TEXT(CL5,"h:mm")) &amp; """],"</f>
        <v>["菱浦", "", "7:30"],</v>
      </c>
      <c r="CN5" s="18" t="str">
        <f aca="false">IF(AND(LEN(CK5)&lt;&gt;0,LEN(CL5)&lt;&gt;0),((HOUR(CL5)*60)+MINUTE(CL5))-((HOUR(CK5)*60)+MINUTE(CK5)),"")</f>
        <v/>
      </c>
      <c r="CO5" s="19" t="s">
        <v>30</v>
      </c>
      <c r="CP5" s="19"/>
      <c r="CQ5" s="19" t="n">
        <v>0.3125</v>
      </c>
      <c r="CR5" s="1" t="str">
        <f aca="false">"[""" &amp; CO5 &amp; """, """ &amp; IF(CP5="","",TEXT(CP5,"h:mm")) &amp; """, """ &amp; IF(CQ5="","",TEXT(CQ5,"h:mm")) &amp; """],"</f>
        <v>["菱浦", "", "7:30"],</v>
      </c>
      <c r="CS5" s="18" t="str">
        <f aca="false">IF(AND(LEN(CP5)&lt;&gt;0,LEN(CQ5)&lt;&gt;0),((HOUR(CQ5)*60)+MINUTE(CQ5))-((HOUR(CP5)*60)+MINUTE(CP5)),"")</f>
        <v/>
      </c>
      <c r="CU5" s="20" t="s">
        <v>29</v>
      </c>
      <c r="CW5" s="20" t="n">
        <v>0.333333333333333</v>
      </c>
      <c r="CX5" s="1" t="str">
        <f aca="false">"[""" &amp; CU5 &amp; """, """ &amp; IF(CV5="","",TEXT(CV5,"h:mm")) &amp; """, """ &amp; IF(CW5="","",TEXT(CW5,"h:mm")) &amp; """],"</f>
        <v>["別府", "", "8:00"],</v>
      </c>
      <c r="CY5" s="18" t="str">
        <f aca="false">IF(AND(LEN(CV5)&lt;&gt;0,LEN(CW5)&lt;&gt;0),((HOUR(CW5)*60)+MINUTE(CW5))-((HOUR(CV5)*60)+MINUTE(CV5)),"")</f>
        <v/>
      </c>
      <c r="CZ5" s="21" t="s">
        <v>31</v>
      </c>
      <c r="DB5" s="22" t="n">
        <v>0.303472222222222</v>
      </c>
      <c r="DC5" s="1" t="str">
        <f aca="false">"[""" &amp; CZ5 &amp; """, """ &amp; IF(DA5="","",TEXT(DA5,"h:mm")) &amp; """, """ &amp; IF(DB5="","",TEXT(DB5,"h:mm")) &amp; """],"</f>
        <v>["来居", "", "7:17"],</v>
      </c>
      <c r="DD5" s="18" t="str">
        <f aca="false">IF(AND(LEN(DA5)&lt;&gt;0,LEN(DB5)&lt;&gt;0),((HOUR(DB5)*60)+MINUTE(DB5))-((HOUR(DA5)*60)+MINUTE(DA5)),"")</f>
        <v/>
      </c>
      <c r="DE5" s="21" t="s">
        <v>31</v>
      </c>
      <c r="DG5" s="22" t="n">
        <v>0.303472222222222</v>
      </c>
      <c r="DH5" s="1" t="str">
        <f aca="false">"[""" &amp; DE5 &amp; """, """ &amp; IF(DF5="","",TEXT(DF5,"h:mm")) &amp; """, """ &amp; IF(DG5="","",TEXT(DG5,"h:mm")) &amp; """],"</f>
        <v>["来居", "", "7:17"],</v>
      </c>
      <c r="DI5" s="18" t="str">
        <f aca="false">IF(AND(LEN(DF5)&lt;&gt;0,LEN(DG5)&lt;&gt;0),((HOUR(DG5)*60)+MINUTE(DG5))-((HOUR(DF5)*60)+MINUTE(DF5)),"")</f>
        <v/>
      </c>
      <c r="DJ5" s="21" t="s">
        <v>31</v>
      </c>
      <c r="DL5" s="22" t="n">
        <v>0.303472222222222</v>
      </c>
      <c r="DM5" s="1" t="str">
        <f aca="false">"[""" &amp; DJ5 &amp; """, """ &amp; IF(DK5="","",TEXT(DK5,"h:mm")) &amp; """, """ &amp; IF(DL5="","",TEXT(DL5,"h:mm")) &amp; """],"</f>
        <v>["来居", "", "7:17"],</v>
      </c>
      <c r="DN5" s="18" t="str">
        <f aca="false">IF(AND(LEN(DK5)&lt;&gt;0,LEN(DL5)&lt;&gt;0),((HOUR(DL5)*60)+MINUTE(DL5))-((HOUR(DK5)*60)+MINUTE(DK5)),"")</f>
        <v/>
      </c>
      <c r="DO5" s="21" t="s">
        <v>31</v>
      </c>
      <c r="DQ5" s="22" t="n">
        <v>0.303472222222222</v>
      </c>
      <c r="DR5" s="1" t="str">
        <f aca="false">"[""" &amp; DO5 &amp; """, """ &amp; IF(DP5="","",TEXT(DP5,"h:mm")) &amp; """, """ &amp; IF(DQ5="","",TEXT(DQ5,"h:mm")) &amp; """],"</f>
        <v>["来居", "", "7:17"],</v>
      </c>
      <c r="DS5" s="18" t="str">
        <f aca="false">IF(AND(LEN(DP5)&lt;&gt;0,LEN(DQ5)&lt;&gt;0),((HOUR(DQ5)*60)+MINUTE(DQ5))-((HOUR(DP5)*60)+MINUTE(DP5)),"")</f>
        <v/>
      </c>
      <c r="DT5" s="20" t="s">
        <v>29</v>
      </c>
      <c r="DV5" s="20" t="n">
        <v>0.333333333333333</v>
      </c>
      <c r="DW5" s="1" t="str">
        <f aca="false">"[""" &amp; DT5 &amp; """, """ &amp; IF(DU5="","",TEXT(DU5,"h:mm")) &amp; """, """ &amp; IF(DV5="","",TEXT(DV5,"h:mm")) &amp; """],"</f>
        <v>["別府", "", "8:00"],</v>
      </c>
      <c r="DX5" s="18" t="str">
        <f aca="false">IF(AND(LEN(DU5)&lt;&gt;0,LEN(DV5)&lt;&gt;0),((HOUR(DV5)*60)+MINUTE(DV5))-((HOUR(DU5)*60)+MINUTE(DU5)),"")</f>
        <v/>
      </c>
      <c r="DY5" s="19" t="s">
        <v>30</v>
      </c>
      <c r="DZ5" s="19"/>
      <c r="EA5" s="19" t="n">
        <v>0.317361111111111</v>
      </c>
      <c r="EB5" s="1" t="str">
        <f aca="false">"[""" &amp; DY5 &amp; """, """ &amp; IF(DZ5="","",TEXT(DZ5,"h:mm")) &amp; """, """ &amp; IF(EA5="","",TEXT(EA5,"h:mm")) &amp; """],"</f>
        <v>["菱浦", "", "7:37"],</v>
      </c>
      <c r="EC5" s="18" t="str">
        <f aca="false">IF(AND(LEN(DZ5)&lt;&gt;0,LEN(EA5)&lt;&gt;0),((HOUR(EA5)*60)+MINUTE(EA5))-((HOUR(DZ5)*60)+MINUTE(DZ5)),"")</f>
        <v/>
      </c>
      <c r="ED5" s="19" t="s">
        <v>30</v>
      </c>
      <c r="EE5" s="19"/>
      <c r="EF5" s="19" t="n">
        <v>0.317361111111111</v>
      </c>
      <c r="EG5" s="1" t="str">
        <f aca="false">"[""" &amp; ED5 &amp; """, """ &amp; IF(EE5="","",TEXT(EE5,"h:mm")) &amp; """, """ &amp; IF(EF5="","",TEXT(EF5,"h:mm")) &amp; """],"</f>
        <v>["菱浦", "", "7:37"],</v>
      </c>
      <c r="EH5" s="18" t="str">
        <f aca="false">IF(AND(LEN(EE5)&lt;&gt;0,LEN(EF5)&lt;&gt;0),((HOUR(EF5)*60)+MINUTE(EF5))-((HOUR(EE5)*60)+MINUTE(EE5)),"")</f>
        <v/>
      </c>
      <c r="EI5" s="19" t="s">
        <v>30</v>
      </c>
      <c r="EJ5" s="19"/>
      <c r="EK5" s="19" t="n">
        <v>0.317361111111111</v>
      </c>
      <c r="EL5" s="1" t="str">
        <f aca="false">"[""" &amp; EI5 &amp; """, """ &amp; IF(EJ5="","",TEXT(EJ5,"h:mm")) &amp; """, """ &amp; IF(EK5="","",TEXT(EK5,"h:mm")) &amp; """],"</f>
        <v>["菱浦", "", "7:37"],</v>
      </c>
      <c r="EM5" s="18" t="str">
        <f aca="false">IF(AND(LEN(EJ5)&lt;&gt;0,LEN(EK5)&lt;&gt;0),((HOUR(EK5)*60)+MINUTE(EK5))-((HOUR(EJ5)*60)+MINUTE(EJ5)),"")</f>
        <v/>
      </c>
      <c r="EN5" s="19" t="s">
        <v>30</v>
      </c>
      <c r="EO5" s="19"/>
      <c r="EP5" s="19" t="n">
        <v>0.317361111111111</v>
      </c>
      <c r="EQ5" s="1" t="str">
        <f aca="false">"[""" &amp; EN5 &amp; """, """ &amp; IF(EO5="","",TEXT(EO5,"h:mm")) &amp; """, """ &amp; IF(EP5="","",TEXT(EP5,"h:mm")) &amp; """],"</f>
        <v>["菱浦", "", "7:37"],</v>
      </c>
      <c r="ER5" s="18" t="str">
        <f aca="false">IF(AND(LEN(EO5)&lt;&gt;0,LEN(EP5)&lt;&gt;0),((HOUR(EP5)*60)+MINUTE(EP5))-((HOUR(EO5)*60)+MINUTE(EO5)),"")</f>
        <v/>
      </c>
    </row>
    <row r="6" customFormat="false" ht="18" hidden="false" customHeight="false" outlineLevel="0" collapsed="false">
      <c r="A6" s="16" t="s">
        <v>28</v>
      </c>
      <c r="B6" s="17" t="n">
        <v>0.475694444444444</v>
      </c>
      <c r="C6" s="17" t="n">
        <v>0.5</v>
      </c>
      <c r="D6" s="1" t="str">
        <f aca="false">"[""" &amp; A6 &amp; """, """ &amp; IF(B6="","",TEXT(B6,"h:mm")) &amp; """, """ &amp; IF(C6="","",TEXT(C6,"h:mm")) &amp; """],"</f>
        <v>["西郷", "11:25", "12:00"],</v>
      </c>
      <c r="E6" s="18" t="n">
        <f aca="false">IF(AND(LEN(B6)&lt;&gt;0,LEN(C6)&lt;&gt;0),((HOUR(C6)*60)+MINUTE(C6))-((HOUR(B6)*60)+MINUTE(B6)),"")</f>
        <v>35</v>
      </c>
      <c r="F6" s="16" t="s">
        <v>30</v>
      </c>
      <c r="G6" s="17" t="n">
        <v>0.402777777777778</v>
      </c>
      <c r="H6" s="16" t="n">
        <v>0.409722222222222</v>
      </c>
      <c r="I6" s="1" t="str">
        <f aca="false">"[""" &amp; F6 &amp; """, """ &amp; IF(G6="","",TEXT(G6,"h:mm")) &amp; """, """ &amp; IF(H6="","",TEXT(H6,"h:mm")) &amp; """],"</f>
        <v>["菱浦", "9:40", "9:50"],</v>
      </c>
      <c r="J6" s="18" t="n">
        <f aca="false">IF(AND(LEN(G6)&lt;&gt;0,LEN(H6)&lt;&gt;0),((HOUR(H6)*60)+MINUTE(H6))-((HOUR(G6)*60)+MINUTE(G6)),"")</f>
        <v>10</v>
      </c>
      <c r="K6" s="16" t="s">
        <v>28</v>
      </c>
      <c r="L6" s="17" t="n">
        <v>0.475694444444444</v>
      </c>
      <c r="M6" s="17" t="n">
        <v>0.5</v>
      </c>
      <c r="N6" s="1" t="str">
        <f aca="false">"[""" &amp; K6 &amp; """, """ &amp; IF(L6="","",TEXT(L6,"h:mm")) &amp; """, """ &amp; IF(M6="","",TEXT(M6,"h:mm")) &amp; """],"</f>
        <v>["西郷", "11:25", "12:00"],</v>
      </c>
      <c r="O6" s="18" t="n">
        <f aca="false">IF(AND(LEN(L6)&lt;&gt;0,LEN(M6)&lt;&gt;0),((HOUR(M6)*60)+MINUTE(M6))-((HOUR(L6)*60)+MINUTE(L6)),"")</f>
        <v>35</v>
      </c>
      <c r="P6" s="16" t="s">
        <v>30</v>
      </c>
      <c r="Q6" s="17" t="n">
        <v>0.402777777777778</v>
      </c>
      <c r="R6" s="16" t="n">
        <v>0.409722222222222</v>
      </c>
      <c r="S6" s="1" t="str">
        <f aca="false">"[""" &amp; P6 &amp; """, """ &amp; IF(Q6="","",TEXT(Q6,"h:mm")) &amp; """, """ &amp; IF(R6="","",TEXT(R6,"h:mm")) &amp; """],"</f>
        <v>["菱浦", "9:40", "9:50"],</v>
      </c>
      <c r="T6" s="18" t="n">
        <f aca="false">IF(AND(LEN(Q6)&lt;&gt;0,LEN(R6)&lt;&gt;0),((HOUR(R6)*60)+MINUTE(R6))-((HOUR(Q6)*60)+MINUTE(Q6)),"")</f>
        <v>10</v>
      </c>
      <c r="U6" s="16" t="s">
        <v>28</v>
      </c>
      <c r="V6" s="17" t="n">
        <v>0.475694444444444</v>
      </c>
      <c r="W6" s="17" t="n">
        <v>0.503472222222222</v>
      </c>
      <c r="X6" s="1" t="str">
        <f aca="false">"[""" &amp; U6 &amp; """, """ &amp; IF(V6="","",TEXT(V6,"h:mm")) &amp; """, """ &amp; IF(W6="","",TEXT(W6,"h:mm")) &amp; """],"</f>
        <v>["西郷", "11:25", "12:05"],</v>
      </c>
      <c r="Y6" s="18" t="n">
        <f aca="false">IF(AND(LEN(V6)&lt;&gt;0,LEN(W6)&lt;&gt;0),((HOUR(W6)*60)+MINUTE(W6))-((HOUR(V6)*60)+MINUTE(V6)),"")</f>
        <v>40</v>
      </c>
      <c r="Z6" s="16" t="s">
        <v>31</v>
      </c>
      <c r="AA6" s="17" t="n">
        <v>0.479166666666667</v>
      </c>
      <c r="AB6" s="16" t="n">
        <v>0.482638888888889</v>
      </c>
      <c r="AC6" s="1" t="str">
        <f aca="false">"[""" &amp; Z6 &amp; """, """ &amp; IF(AA6="","",TEXT(AA6,"h:mm")) &amp; """, """ &amp; IF(AB6="","",TEXT(AB6,"h:mm")) &amp; """],"</f>
        <v>["来居", "11:30", "11:35"],</v>
      </c>
      <c r="AD6" s="18" t="n">
        <f aca="false">IF(AND(LEN(AA6)&lt;&gt;0,LEN(AB6)&lt;&gt;0),((HOUR(AB6)*60)+MINUTE(AB6))-((HOUR(AA6)*60)+MINUTE(AA6)),"")</f>
        <v>5</v>
      </c>
      <c r="AE6" s="16" t="s">
        <v>30</v>
      </c>
      <c r="AF6" s="17" t="n">
        <v>0.402777777777778</v>
      </c>
      <c r="AG6" s="16" t="n">
        <v>0.409722222222222</v>
      </c>
      <c r="AH6" s="1" t="str">
        <f aca="false">"[""" &amp; AE6 &amp; """, """ &amp; IF(AF6="","",TEXT(AF6,"h:mm")) &amp; """, """ &amp; IF(AG6="","",TEXT(AG6,"h:mm")) &amp; """],"</f>
        <v>["菱浦", "9:40", "9:50"],</v>
      </c>
      <c r="AI6" s="18" t="n">
        <f aca="false">IF(AND(LEN(AF6)&lt;&gt;0,LEN(AG6)&lt;&gt;0),((HOUR(AG6)*60)+MINUTE(AG6))-((HOUR(AF6)*60)+MINUTE(AF6)),"")</f>
        <v>10</v>
      </c>
      <c r="AJ6" s="16" t="s">
        <v>28</v>
      </c>
      <c r="AK6" s="17" t="n">
        <v>0.475694444444444</v>
      </c>
      <c r="AL6" s="17" t="n">
        <v>0.496527777777778</v>
      </c>
      <c r="AM6" s="1" t="str">
        <f aca="false">"[""" &amp; AJ6 &amp; """, """ &amp; IF(AK6="","",TEXT(AK6,"h:mm")) &amp; """, """ &amp; IF(AL6="","",TEXT(AL6,"h:mm")) &amp; """],"</f>
        <v>["西郷", "11:25", "11:55"],</v>
      </c>
      <c r="AN6" s="18" t="n">
        <f aca="false">IF(AND(LEN(AK6)&lt;&gt;0,LEN(AL6)&lt;&gt;0),((HOUR(AL6)*60)+MINUTE(AL6))-((HOUR(AK6)*60)+MINUTE(AK6)),"")</f>
        <v>30</v>
      </c>
      <c r="AO6" s="16" t="s">
        <v>31</v>
      </c>
      <c r="AP6" s="17" t="n">
        <v>0.479166666666667</v>
      </c>
      <c r="AQ6" s="16" t="n">
        <v>0.482638888888889</v>
      </c>
      <c r="AR6" s="1" t="str">
        <f aca="false">"[""" &amp; AO6 &amp; """, """ &amp; IF(AP6="","",TEXT(AP6,"h:mm")) &amp; """, """ &amp; IF(AQ6="","",TEXT(AQ6,"h:mm")) &amp; """],"</f>
        <v>["来居", "11:30", "11:35"],</v>
      </c>
      <c r="AS6" s="18" t="n">
        <f aca="false">IF(AND(LEN(AP6)&lt;&gt;0,LEN(AQ6)&lt;&gt;0),((HOUR(AQ6)*60)+MINUTE(AQ6))-((HOUR(AP6)*60)+MINUTE(AP6)),"")</f>
        <v>5</v>
      </c>
      <c r="AT6" s="16" t="s">
        <v>30</v>
      </c>
      <c r="AU6" s="17" t="n">
        <v>0.402777777777778</v>
      </c>
      <c r="AV6" s="16" t="n">
        <v>0.409722222222222</v>
      </c>
      <c r="AW6" s="1" t="str">
        <f aca="false">"[""" &amp; AT6 &amp; """, """ &amp; IF(AU6="","",TEXT(AU6,"h:mm")) &amp; """, """ &amp; IF(AV6="","",TEXT(AV6,"h:mm")) &amp; """],"</f>
        <v>["菱浦", "9:40", "9:50"],</v>
      </c>
      <c r="AX6" s="18" t="n">
        <f aca="false">IF(AND(LEN(AU6)&lt;&gt;0,LEN(AV6)&lt;&gt;0),((HOUR(AV6)*60)+MINUTE(AV6))-((HOUR(AU6)*60)+MINUTE(AU6)),"")</f>
        <v>10</v>
      </c>
      <c r="AZ6" s="16" t="s">
        <v>30</v>
      </c>
      <c r="BA6" s="16" t="n">
        <v>0.340277777777778</v>
      </c>
      <c r="BB6" s="17" t="n">
        <v>0.343055555555556</v>
      </c>
      <c r="BC6" s="1" t="str">
        <f aca="false">"[""" &amp; AZ6 &amp; """, """ &amp; IF(BA6="","",TEXT(BA6,"h:mm")) &amp; """, """ &amp; IF(BB6="","",TEXT(BB6,"h:mm")) &amp; """],"</f>
        <v>["菱浦", "8:10", "8:14"],</v>
      </c>
      <c r="BD6" s="18" t="n">
        <f aca="false">IF(AND(LEN(BA6)&lt;&gt;0,LEN(BB6)&lt;&gt;0),((HOUR(BB6)*60)+MINUTE(BB6))-((HOUR(BA6)*60)+MINUTE(BA6)),"")</f>
        <v>4</v>
      </c>
      <c r="BE6" s="16" t="s">
        <v>30</v>
      </c>
      <c r="BF6" s="16" t="n">
        <v>0.340277777777778</v>
      </c>
      <c r="BG6" s="17" t="n">
        <v>0.343055555555556</v>
      </c>
      <c r="BH6" s="1" t="str">
        <f aca="false">"[""" &amp; BE6 &amp; """, """ &amp; IF(BF6="","",TEXT(BF6,"h:mm")) &amp; """, """ &amp; IF(BG6="","",TEXT(BG6,"h:mm")) &amp; """],"</f>
        <v>["菱浦", "8:10", "8:14"],</v>
      </c>
      <c r="BI6" s="18" t="n">
        <f aca="false">IF(AND(LEN(BF6)&lt;&gt;0,LEN(BG6)&lt;&gt;0),((HOUR(BG6)*60)+MINUTE(BG6))-((HOUR(BF6)*60)+MINUTE(BF6)),"")</f>
        <v>4</v>
      </c>
      <c r="BJ6" s="16" t="s">
        <v>30</v>
      </c>
      <c r="BK6" s="16" t="n">
        <v>0.326388888888889</v>
      </c>
      <c r="BL6" s="17" t="n">
        <v>0.329166666666667</v>
      </c>
      <c r="BM6" s="1" t="str">
        <f aca="false">"[""" &amp; BJ6 &amp; """, """ &amp; IF(BK6="","",TEXT(BK6,"h:mm")) &amp; """, """ &amp; IF(BL6="","",TEXT(BL6,"h:mm")) &amp; """],"</f>
        <v>["菱浦", "7:50", "7:54"],</v>
      </c>
      <c r="BN6" s="18" t="n">
        <f aca="false">IF(AND(LEN(BK6)&lt;&gt;0,LEN(BL6)&lt;&gt;0),((HOUR(BL6)*60)+MINUTE(BL6))-((HOUR(BK6)*60)+MINUTE(BK6)),"")</f>
        <v>4</v>
      </c>
      <c r="BO6" s="16" t="s">
        <v>30</v>
      </c>
      <c r="BP6" s="16" t="n">
        <v>0.340277777777778</v>
      </c>
      <c r="BQ6" s="17" t="n">
        <v>0.343055555555556</v>
      </c>
      <c r="BR6" s="1" t="str">
        <f aca="false">"[""" &amp; BO6 &amp; """, """ &amp; IF(BP6="","",TEXT(BP6,"h:mm")) &amp; """, """ &amp; IF(BQ6="","",TEXT(BQ6,"h:mm")) &amp; """],"</f>
        <v>["菱浦", "8:10", "8:14"],</v>
      </c>
      <c r="BS6" s="18" t="n">
        <f aca="false">IF(AND(LEN(BP6)&lt;&gt;0,LEN(BQ6)&lt;&gt;0),((HOUR(BQ6)*60)+MINUTE(BQ6))-((HOUR(BP6)*60)+MINUTE(BP6)),"")</f>
        <v>4</v>
      </c>
      <c r="BT6" s="16" t="s">
        <v>30</v>
      </c>
      <c r="BU6" s="16" t="n">
        <v>0.340277777777778</v>
      </c>
      <c r="BV6" s="17" t="n">
        <v>0.343055555555556</v>
      </c>
      <c r="BW6" s="1" t="str">
        <f aca="false">"[""" &amp; BT6 &amp; """, """ &amp; IF(BU6="","",TEXT(BU6,"h:mm")) &amp; """, """ &amp; IF(BV6="","",TEXT(BV6,"h:mm")) &amp; """],"</f>
        <v>["菱浦", "8:10", "8:14"],</v>
      </c>
      <c r="BX6" s="18" t="n">
        <f aca="false">IF(AND(LEN(BU6)&lt;&gt;0,LEN(BV6)&lt;&gt;0),((HOUR(BV6)*60)+MINUTE(BV6))-((HOUR(BU6)*60)+MINUTE(BU6)),"")</f>
        <v>4</v>
      </c>
      <c r="BZ6" s="20" t="s">
        <v>29</v>
      </c>
      <c r="CA6" s="20" t="n">
        <v>0.395833333333333</v>
      </c>
      <c r="CB6" s="20" t="n">
        <v>0.399305555555556</v>
      </c>
      <c r="CC6" s="1" t="str">
        <f aca="false">"[""" &amp; BZ6 &amp; """, """ &amp; IF(CA6="","",TEXT(CA6,"h:mm")) &amp; """, """ &amp; IF(CB6="","",TEXT(CB6,"h:mm")) &amp; """],"</f>
        <v>["別府", "9:30", "9:35"],</v>
      </c>
      <c r="CD6" s="18" t="n">
        <f aca="false">IF(AND(LEN(CA6)&lt;&gt;0,LEN(CB6)&lt;&gt;0),((HOUR(CB6)*60)+MINUTE(CB6))-((HOUR(CA6)*60)+MINUTE(CA6)),"")</f>
        <v>5</v>
      </c>
      <c r="CE6" s="20" t="s">
        <v>29</v>
      </c>
      <c r="CF6" s="20" t="n">
        <v>0.65625</v>
      </c>
      <c r="CG6" s="20" t="n">
        <v>0.659722222222222</v>
      </c>
      <c r="CH6" s="1" t="str">
        <f aca="false">"[""" &amp; CE6 &amp; """, """ &amp; IF(CF6="","",TEXT(CF6,"h:mm")) &amp; """, """ &amp; IF(CG6="","",TEXT(CG6,"h:mm")) &amp; """],"</f>
        <v>["別府", "15:45", "15:50"],</v>
      </c>
      <c r="CI6" s="18" t="n">
        <f aca="false">IF(AND(LEN(CF6)&lt;&gt;0,LEN(CG6)&lt;&gt;0),((HOUR(CG6)*60)+MINUTE(CG6))-((HOUR(CF6)*60)+MINUTE(CF6)),"")</f>
        <v>5</v>
      </c>
      <c r="CJ6" s="20" t="s">
        <v>29</v>
      </c>
      <c r="CK6" s="20" t="n">
        <v>0.322916666666667</v>
      </c>
      <c r="CL6" s="20" t="n">
        <v>0.326388888888889</v>
      </c>
      <c r="CM6" s="1" t="str">
        <f aca="false">"[""" &amp; CJ6 &amp; """, """ &amp; IF(CK6="","",TEXT(CK6,"h:mm")) &amp; """, """ &amp; IF(CL6="","",TEXT(CL6,"h:mm")) &amp; """],"</f>
        <v>["別府", "7:45", "7:50"],</v>
      </c>
      <c r="CN6" s="18" t="n">
        <f aca="false">IF(AND(LEN(CK6)&lt;&gt;0,LEN(CL6)&lt;&gt;0),((HOUR(CL6)*60)+MINUTE(CL6))-((HOUR(CK6)*60)+MINUTE(CK6)),"")</f>
        <v>5</v>
      </c>
      <c r="CO6" s="20" t="s">
        <v>29</v>
      </c>
      <c r="CP6" s="20" t="n">
        <v>0.322916666666667</v>
      </c>
      <c r="CQ6" s="20" t="n">
        <v>0.326388888888889</v>
      </c>
      <c r="CR6" s="1" t="str">
        <f aca="false">"[""" &amp; CO6 &amp; """, """ &amp; IF(CP6="","",TEXT(CP6,"h:mm")) &amp; """, """ &amp; IF(CQ6="","",TEXT(CQ6,"h:mm")) &amp; """],"</f>
        <v>["別府", "7:45", "7:50"],</v>
      </c>
      <c r="CS6" s="18" t="n">
        <f aca="false">IF(AND(LEN(CP6)&lt;&gt;0,LEN(CQ6)&lt;&gt;0),((HOUR(CQ6)*60)+MINUTE(CQ6))-((HOUR(CP6)*60)+MINUTE(CP6)),"")</f>
        <v>5</v>
      </c>
      <c r="CU6" s="19" t="s">
        <v>30</v>
      </c>
      <c r="CV6" s="19" t="n">
        <v>0.338888888888889</v>
      </c>
      <c r="CW6" s="19" t="n">
        <v>0.340277777777778</v>
      </c>
      <c r="CX6" s="1" t="str">
        <f aca="false">"[""" &amp; CU6 &amp; """, """ &amp; IF(CV6="","",TEXT(CV6,"h:mm")) &amp; """, """ &amp; IF(CW6="","",TEXT(CW6,"h:mm")) &amp; """],"</f>
        <v>["菱浦", "8:08", "8:10"],</v>
      </c>
      <c r="CY6" s="18" t="n">
        <f aca="false">IF(AND(LEN(CV6)&lt;&gt;0,LEN(CW6)&lt;&gt;0),((HOUR(CW6)*60)+MINUTE(CW6))-((HOUR(CV6)*60)+MINUTE(CV6)),"")</f>
        <v>2</v>
      </c>
      <c r="CZ6" s="19" t="s">
        <v>30</v>
      </c>
      <c r="DA6" s="19" t="n">
        <v>0.315972222222222</v>
      </c>
      <c r="DB6" s="19" t="n">
        <v>0.317361111111111</v>
      </c>
      <c r="DC6" s="1" t="str">
        <f aca="false">"[""" &amp; CZ6 &amp; """, """ &amp; IF(DA6="","",TEXT(DA6,"h:mm")) &amp; """, """ &amp; IF(DB6="","",TEXT(DB6,"h:mm")) &amp; """],"</f>
        <v>["菱浦", "7:35", "7:37"],</v>
      </c>
      <c r="DD6" s="18" t="n">
        <f aca="false">IF(AND(LEN(DA6)&lt;&gt;0,LEN(DB6)&lt;&gt;0),((HOUR(DB6)*60)+MINUTE(DB6))-((HOUR(DA6)*60)+MINUTE(DA6)),"")</f>
        <v>2</v>
      </c>
      <c r="DE6" s="19" t="s">
        <v>30</v>
      </c>
      <c r="DF6" s="19" t="n">
        <v>0.315972222222222</v>
      </c>
      <c r="DG6" s="19" t="n">
        <v>0.317361111111111</v>
      </c>
      <c r="DH6" s="1" t="str">
        <f aca="false">"[""" &amp; DE6 &amp; """, """ &amp; IF(DF6="","",TEXT(DF6,"h:mm")) &amp; """, """ &amp; IF(DG6="","",TEXT(DG6,"h:mm")) &amp; """],"</f>
        <v>["菱浦", "7:35", "7:37"],</v>
      </c>
      <c r="DI6" s="18" t="n">
        <f aca="false">IF(AND(LEN(DF6)&lt;&gt;0,LEN(DG6)&lt;&gt;0),((HOUR(DG6)*60)+MINUTE(DG6))-((HOUR(DF6)*60)+MINUTE(DF6)),"")</f>
        <v>2</v>
      </c>
      <c r="DJ6" s="19" t="s">
        <v>30</v>
      </c>
      <c r="DK6" s="19" t="n">
        <v>0.315972222222222</v>
      </c>
      <c r="DL6" s="19" t="n">
        <v>0.317361111111111</v>
      </c>
      <c r="DM6" s="1" t="str">
        <f aca="false">"[""" &amp; DJ6 &amp; """, """ &amp; IF(DK6="","",TEXT(DK6,"h:mm")) &amp; """, """ &amp; IF(DL6="","",TEXT(DL6,"h:mm")) &amp; """],"</f>
        <v>["菱浦", "7:35", "7:37"],</v>
      </c>
      <c r="DN6" s="18" t="n">
        <f aca="false">IF(AND(LEN(DK6)&lt;&gt;0,LEN(DL6)&lt;&gt;0),((HOUR(DL6)*60)+MINUTE(DL6))-((HOUR(DK6)*60)+MINUTE(DK6)),"")</f>
        <v>2</v>
      </c>
      <c r="DO6" s="19" t="s">
        <v>30</v>
      </c>
      <c r="DP6" s="19" t="n">
        <v>0.315972222222222</v>
      </c>
      <c r="DQ6" s="19" t="n">
        <v>0.317361111111111</v>
      </c>
      <c r="DR6" s="1" t="str">
        <f aca="false">"[""" &amp; DO6 &amp; """, """ &amp; IF(DP6="","",TEXT(DP6,"h:mm")) &amp; """, """ &amp; IF(DQ6="","",TEXT(DQ6,"h:mm")) &amp; """],"</f>
        <v>["菱浦", "7:35", "7:37"],</v>
      </c>
      <c r="DS6" s="18" t="n">
        <f aca="false">IF(AND(LEN(DP6)&lt;&gt;0,LEN(DQ6)&lt;&gt;0),((HOUR(DQ6)*60)+MINUTE(DQ6))-((HOUR(DP6)*60)+MINUTE(DP6)),"")</f>
        <v>2</v>
      </c>
      <c r="DT6" s="19" t="s">
        <v>30</v>
      </c>
      <c r="DU6" s="19" t="n">
        <v>0.338888888888889</v>
      </c>
      <c r="DV6" s="19" t="n">
        <v>0.340277777777778</v>
      </c>
      <c r="DW6" s="1" t="str">
        <f aca="false">"[""" &amp; DT6 &amp; """, """ &amp; IF(DU6="","",TEXT(DU6,"h:mm")) &amp; """, """ &amp; IF(DV6="","",TEXT(DV6,"h:mm")) &amp; """],"</f>
        <v>["菱浦", "8:08", "8:10"],</v>
      </c>
      <c r="DX6" s="18" t="n">
        <f aca="false">IF(AND(LEN(DU6)&lt;&gt;0,LEN(DV6)&lt;&gt;0),((HOUR(DV6)*60)+MINUTE(DV6))-((HOUR(DU6)*60)+MINUTE(DU6)),"")</f>
        <v>2</v>
      </c>
      <c r="DY6" s="20" t="s">
        <v>29</v>
      </c>
      <c r="DZ6" s="20" t="n">
        <v>0.322222222222222</v>
      </c>
      <c r="EA6" s="20" t="n">
        <v>0.350694444444444</v>
      </c>
      <c r="EB6" s="1" t="str">
        <f aca="false">"[""" &amp; DY6 &amp; """, """ &amp; IF(DZ6="","",TEXT(DZ6,"h:mm")) &amp; """, """ &amp; IF(EA6="","",TEXT(EA6,"h:mm")) &amp; """],"</f>
        <v>["別府", "7:44", "8:25"],</v>
      </c>
      <c r="EC6" s="18" t="n">
        <f aca="false">IF(AND(LEN(DZ6)&lt;&gt;0,LEN(EA6)&lt;&gt;0),((HOUR(EA6)*60)+MINUTE(EA6))-((HOUR(DZ6)*60)+MINUTE(DZ6)),"")</f>
        <v>41</v>
      </c>
      <c r="ED6" s="20" t="s">
        <v>29</v>
      </c>
      <c r="EE6" s="20" t="n">
        <v>0.322222222222222</v>
      </c>
      <c r="EF6" s="20" t="n">
        <v>0.350694444444444</v>
      </c>
      <c r="EG6" s="1" t="str">
        <f aca="false">"[""" &amp; ED6 &amp; """, """ &amp; IF(EE6="","",TEXT(EE6,"h:mm")) &amp; """, """ &amp; IF(EF6="","",TEXT(EF6,"h:mm")) &amp; """],"</f>
        <v>["別府", "7:44", "8:25"],</v>
      </c>
      <c r="EH6" s="18" t="n">
        <f aca="false">IF(AND(LEN(EE6)&lt;&gt;0,LEN(EF6)&lt;&gt;0),((HOUR(EF6)*60)+MINUTE(EF6))-((HOUR(EE6)*60)+MINUTE(EE6)),"")</f>
        <v>41</v>
      </c>
      <c r="EI6" s="20" t="s">
        <v>29</v>
      </c>
      <c r="EJ6" s="20" t="n">
        <v>0.322222222222222</v>
      </c>
      <c r="EK6" s="20" t="n">
        <v>0.350694444444444</v>
      </c>
      <c r="EL6" s="1" t="str">
        <f aca="false">"[""" &amp; EI6 &amp; """, """ &amp; IF(EJ6="","",TEXT(EJ6,"h:mm")) &amp; """, """ &amp; IF(EK6="","",TEXT(EK6,"h:mm")) &amp; """],"</f>
        <v>["別府", "7:44", "8:25"],</v>
      </c>
      <c r="EM6" s="18" t="n">
        <f aca="false">IF(AND(LEN(EJ6)&lt;&gt;0,LEN(EK6)&lt;&gt;0),((HOUR(EK6)*60)+MINUTE(EK6))-((HOUR(EJ6)*60)+MINUTE(EJ6)),"")</f>
        <v>41</v>
      </c>
      <c r="EN6" s="20" t="s">
        <v>29</v>
      </c>
      <c r="EO6" s="20" t="n">
        <v>0.322222222222222</v>
      </c>
      <c r="EP6" s="20" t="n">
        <v>0.350694444444444</v>
      </c>
      <c r="EQ6" s="1" t="str">
        <f aca="false">"[""" &amp; EN6 &amp; """, """ &amp; IF(EO6="","",TEXT(EO6,"h:mm")) &amp; """, """ &amp; IF(EP6="","",TEXT(EP6,"h:mm")) &amp; """],"</f>
        <v>["別府", "7:44", "8:25"],</v>
      </c>
      <c r="ER6" s="18" t="n">
        <f aca="false">IF(AND(LEN(EO6)&lt;&gt;0,LEN(EP6)&lt;&gt;0),((HOUR(EP6)*60)+MINUTE(EP6))-((HOUR(EO6)*60)+MINUTE(EO6)),"")</f>
        <v>41</v>
      </c>
    </row>
    <row r="7" customFormat="false" ht="18" hidden="false" customHeight="false" outlineLevel="0" collapsed="false">
      <c r="A7" s="16" t="s">
        <v>30</v>
      </c>
      <c r="B7" s="17" t="n">
        <v>0.548611111111111</v>
      </c>
      <c r="C7" s="16" t="n">
        <v>0.555555555555556</v>
      </c>
      <c r="D7" s="1" t="str">
        <f aca="false">"[""" &amp; A7 &amp; """, """ &amp; IF(B7="","",TEXT(B7,"h:mm")) &amp; """, """ &amp; IF(C7="","",TEXT(C7,"h:mm")) &amp; """],"</f>
        <v>["菱浦", "13:10", "13:20"],</v>
      </c>
      <c r="E7" s="18" t="n">
        <f aca="false">IF(AND(LEN(B7)&lt;&gt;0,LEN(C7)&lt;&gt;0),((HOUR(C7)*60)+MINUTE(C7))-((HOUR(B7)*60)+MINUTE(B7)),"")</f>
        <v>10</v>
      </c>
      <c r="F7" s="16" t="s">
        <v>29</v>
      </c>
      <c r="G7" s="16" t="n">
        <v>0.420138888888889</v>
      </c>
      <c r="H7" s="16" t="n">
        <v>0.430555555555556</v>
      </c>
      <c r="I7" s="1" t="str">
        <f aca="false">"[""" &amp; F7 &amp; """, """ &amp; IF(G7="","",TEXT(G7,"h:mm")) &amp; """, """ &amp; IF(H7="","",TEXT(H7,"h:mm")) &amp; """],"</f>
        <v>["別府", "10:05", "10:20"],</v>
      </c>
      <c r="J7" s="18" t="n">
        <f aca="false">IF(AND(LEN(G7)&lt;&gt;0,LEN(H7)&lt;&gt;0),((HOUR(H7)*60)+MINUTE(H7))-((HOUR(G7)*60)+MINUTE(G7)),"")</f>
        <v>15</v>
      </c>
      <c r="K7" s="16" t="s">
        <v>30</v>
      </c>
      <c r="L7" s="17" t="n">
        <v>0.548611111111111</v>
      </c>
      <c r="M7" s="16" t="n">
        <v>0.5625</v>
      </c>
      <c r="N7" s="1" t="str">
        <f aca="false">"[""" &amp; K7 &amp; """, """ &amp; IF(L7="","",TEXT(L7,"h:mm")) &amp; """, """ &amp; IF(M7="","",TEXT(M7,"h:mm")) &amp; """],"</f>
        <v>["菱浦", "13:10", "13:30"],</v>
      </c>
      <c r="O7" s="18" t="n">
        <f aca="false">IF(AND(LEN(L7)&lt;&gt;0,LEN(M7)&lt;&gt;0),((HOUR(M7)*60)+MINUTE(M7))-((HOUR(L7)*60)+MINUTE(L7)),"")</f>
        <v>20</v>
      </c>
      <c r="P7" s="16" t="s">
        <v>29</v>
      </c>
      <c r="Q7" s="16" t="n">
        <v>0.420138888888889</v>
      </c>
      <c r="R7" s="16" t="n">
        <v>0.430555555555556</v>
      </c>
      <c r="S7" s="1" t="str">
        <f aca="false">"[""" &amp; P7 &amp; """, """ &amp; IF(Q7="","",TEXT(Q7,"h:mm")) &amp; """, """ &amp; IF(R7="","",TEXT(R7,"h:mm")) &amp; """],"</f>
        <v>["別府", "10:05", "10:20"],</v>
      </c>
      <c r="T7" s="18" t="n">
        <f aca="false">IF(AND(LEN(Q7)&lt;&gt;0,LEN(R7)&lt;&gt;0),((HOUR(R7)*60)+MINUTE(R7))-((HOUR(Q7)*60)+MINUTE(Q7)),"")</f>
        <v>15</v>
      </c>
      <c r="U7" s="16" t="s">
        <v>30</v>
      </c>
      <c r="V7" s="17" t="n">
        <v>0.552083333333333</v>
      </c>
      <c r="W7" s="16" t="n">
        <v>0.635416666666667</v>
      </c>
      <c r="X7" s="1" t="str">
        <f aca="false">"[""" &amp; U7 &amp; """, """ &amp; IF(V7="","",TEXT(V7,"h:mm")) &amp; """, """ &amp; IF(W7="","",TEXT(W7,"h:mm")) &amp; """],"</f>
        <v>["菱浦", "13:15", "15:15"],</v>
      </c>
      <c r="Y7" s="18" t="n">
        <f aca="false">IF(AND(LEN(V7)&lt;&gt;0,LEN(W7)&lt;&gt;0),((HOUR(W7)*60)+MINUTE(W7))-((HOUR(V7)*60)+MINUTE(V7)),"")</f>
        <v>120</v>
      </c>
      <c r="Z7" s="16" t="s">
        <v>29</v>
      </c>
      <c r="AA7" s="16" t="n">
        <v>0.503472222222222</v>
      </c>
      <c r="AB7" s="16" t="n">
        <v>0.513888888888889</v>
      </c>
      <c r="AC7" s="1" t="str">
        <f aca="false">"[""" &amp; Z7 &amp; """, """ &amp; IF(AA7="","",TEXT(AA7,"h:mm")) &amp; """, """ &amp; IF(AB7="","",TEXT(AB7,"h:mm")) &amp; """],"</f>
        <v>["別府", "12:05", "12:20"],</v>
      </c>
      <c r="AD7" s="18" t="n">
        <f aca="false">IF(AND(LEN(AA7)&lt;&gt;0,LEN(AB7)&lt;&gt;0),((HOUR(AB7)*60)+MINUTE(AB7))-((HOUR(AA7)*60)+MINUTE(AA7)),"")</f>
        <v>15</v>
      </c>
      <c r="AE7" s="16" t="s">
        <v>29</v>
      </c>
      <c r="AF7" s="16" t="n">
        <v>0.420138888888889</v>
      </c>
      <c r="AG7" s="16" t="n">
        <v>0.430555555555556</v>
      </c>
      <c r="AH7" s="1" t="str">
        <f aca="false">"[""" &amp; AE7 &amp; """, """ &amp; IF(AF7="","",TEXT(AF7,"h:mm")) &amp; """, """ &amp; IF(AG7="","",TEXT(AG7,"h:mm")) &amp; """],"</f>
        <v>["別府", "10:05", "10:20"],</v>
      </c>
      <c r="AI7" s="18" t="n">
        <f aca="false">IF(AND(LEN(AF7)&lt;&gt;0,LEN(AG7)&lt;&gt;0),((HOUR(AG7)*60)+MINUTE(AG7))-((HOUR(AF7)*60)+MINUTE(AF7)),"")</f>
        <v>15</v>
      </c>
      <c r="AJ7" s="16" t="s">
        <v>27</v>
      </c>
      <c r="AK7" s="17" t="n">
        <v>0.597222222222222</v>
      </c>
      <c r="AL7" s="17" t="n">
        <v>0.614583333333333</v>
      </c>
      <c r="AM7" s="1" t="str">
        <f aca="false">"[""" &amp; AJ7 &amp; """, """ &amp; IF(AK7="","",TEXT(AK7,"h:mm")) &amp; """, """ &amp; IF(AL7="","",TEXT(AL7,"h:mm")) &amp; """],"</f>
        <v>["七類", "14:20", "14:45"],</v>
      </c>
      <c r="AN7" s="18" t="n">
        <f aca="false">IF(AND(LEN(AK7)&lt;&gt;0,LEN(AL7)&lt;&gt;0),((HOUR(AL7)*60)+MINUTE(AL7))-((HOUR(AK7)*60)+MINUTE(AK7)),"")</f>
        <v>25</v>
      </c>
      <c r="AO7" s="16" t="s">
        <v>29</v>
      </c>
      <c r="AP7" s="16" t="n">
        <v>0.503472222222222</v>
      </c>
      <c r="AQ7" s="16" t="n">
        <v>0.513888888888889</v>
      </c>
      <c r="AR7" s="1" t="str">
        <f aca="false">"[""" &amp; AO7 &amp; """, """ &amp; IF(AP7="","",TEXT(AP7,"h:mm")) &amp; """, """ &amp; IF(AQ7="","",TEXT(AQ7,"h:mm")) &amp; """],"</f>
        <v>["別府", "12:05", "12:20"],</v>
      </c>
      <c r="AS7" s="18" t="n">
        <f aca="false">IF(AND(LEN(AP7)&lt;&gt;0,LEN(AQ7)&lt;&gt;0),((HOUR(AQ7)*60)+MINUTE(AQ7))-((HOUR(AP7)*60)+MINUTE(AP7)),"")</f>
        <v>15</v>
      </c>
      <c r="AT7" s="16" t="s">
        <v>29</v>
      </c>
      <c r="AU7" s="16" t="n">
        <v>0.420138888888889</v>
      </c>
      <c r="AV7" s="16" t="n">
        <v>0.430555555555556</v>
      </c>
      <c r="AW7" s="1" t="str">
        <f aca="false">"[""" &amp; AT7 &amp; """, """ &amp; IF(AU7="","",TEXT(AU7,"h:mm")) &amp; """, """ &amp; IF(AV7="","",TEXT(AV7,"h:mm")) &amp; """],"</f>
        <v>["別府", "10:05", "10:20"],</v>
      </c>
      <c r="AX7" s="18" t="n">
        <f aca="false">IF(AND(LEN(AU7)&lt;&gt;0,LEN(AV7)&lt;&gt;0),((HOUR(AV7)*60)+MINUTE(AV7))-((HOUR(AU7)*60)+MINUTE(AU7)),"")</f>
        <v>15</v>
      </c>
      <c r="AZ7" s="16" t="s">
        <v>28</v>
      </c>
      <c r="BA7" s="17" t="n">
        <v>0.364583333333333</v>
      </c>
      <c r="BB7" s="17" t="n">
        <v>0.370833333333333</v>
      </c>
      <c r="BC7" s="1" t="str">
        <f aca="false">"[""" &amp; AZ7 &amp; """, """ &amp; IF(BA7="","",TEXT(BA7,"h:mm")) &amp; """, """ &amp; IF(BB7="","",TEXT(BB7,"h:mm")) &amp; """],"</f>
        <v>["西郷", "8:45", "8:54"],</v>
      </c>
      <c r="BD7" s="18" t="n">
        <f aca="false">IF(AND(LEN(BA7)&lt;&gt;0,LEN(BB7)&lt;&gt;0),((HOUR(BB7)*60)+MINUTE(BB7))-((HOUR(BA7)*60)+MINUTE(BA7)),"")</f>
        <v>9</v>
      </c>
      <c r="BE7" s="16" t="s">
        <v>28</v>
      </c>
      <c r="BF7" s="17" t="n">
        <v>0.364583333333333</v>
      </c>
      <c r="BG7" s="17" t="n">
        <v>0.370833333333333</v>
      </c>
      <c r="BH7" s="1" t="str">
        <f aca="false">"[""" &amp; BE7 &amp; """, """ &amp; IF(BF7="","",TEXT(BF7,"h:mm")) &amp; """, """ &amp; IF(BG7="","",TEXT(BG7,"h:mm")) &amp; """],"</f>
        <v>["西郷", "8:45", "8:54"],</v>
      </c>
      <c r="BI7" s="18" t="n">
        <f aca="false">IF(AND(LEN(BF7)&lt;&gt;0,LEN(BG7)&lt;&gt;0),((HOUR(BG7)*60)+MINUTE(BG7))-((HOUR(BF7)*60)+MINUTE(BF7)),"")</f>
        <v>9</v>
      </c>
      <c r="BJ7" s="16" t="s">
        <v>28</v>
      </c>
      <c r="BK7" s="17" t="n">
        <v>0.350694444444444</v>
      </c>
      <c r="BL7" s="17" t="n">
        <v>0.357638888888889</v>
      </c>
      <c r="BM7" s="1" t="str">
        <f aca="false">"[""" &amp; BJ7 &amp; """, """ &amp; IF(BK7="","",TEXT(BK7,"h:mm")) &amp; """, """ &amp; IF(BL7="","",TEXT(BL7,"h:mm")) &amp; """],"</f>
        <v>["西郷", "8:25", "8:35"],</v>
      </c>
      <c r="BN7" s="18" t="n">
        <f aca="false">IF(AND(LEN(BK7)&lt;&gt;0,LEN(BL7)&lt;&gt;0),((HOUR(BL7)*60)+MINUTE(BL7))-((HOUR(BK7)*60)+MINUTE(BK7)),"")</f>
        <v>10</v>
      </c>
      <c r="BO7" s="16" t="s">
        <v>28</v>
      </c>
      <c r="BP7" s="17" t="n">
        <v>0.364583333333333</v>
      </c>
      <c r="BQ7" s="17" t="n">
        <v>0.370833333333333</v>
      </c>
      <c r="BR7" s="1" t="str">
        <f aca="false">"[""" &amp; BO7 &amp; """, """ &amp; IF(BP7="","",TEXT(BP7,"h:mm")) &amp; """, """ &amp; IF(BQ7="","",TEXT(BQ7,"h:mm")) &amp; """],"</f>
        <v>["西郷", "8:45", "8:54"],</v>
      </c>
      <c r="BS7" s="18" t="n">
        <f aca="false">IF(AND(LEN(BP7)&lt;&gt;0,LEN(BQ7)&lt;&gt;0),((HOUR(BQ7)*60)+MINUTE(BQ7))-((HOUR(BP7)*60)+MINUTE(BP7)),"")</f>
        <v>9</v>
      </c>
      <c r="BT7" s="16" t="s">
        <v>28</v>
      </c>
      <c r="BU7" s="17" t="n">
        <v>0.364583333333333</v>
      </c>
      <c r="BV7" s="17" t="n">
        <v>0.370833333333333</v>
      </c>
      <c r="BW7" s="1" t="str">
        <f aca="false">"[""" &amp; BT7 &amp; """, """ &amp; IF(BU7="","",TEXT(BU7,"h:mm")) &amp; """, """ &amp; IF(BV7="","",TEXT(BV7,"h:mm")) &amp; """],"</f>
        <v>["西郷", "8:45", "8:54"],</v>
      </c>
      <c r="BX7" s="18" t="n">
        <f aca="false">IF(AND(LEN(BU7)&lt;&gt;0,LEN(BV7)&lt;&gt;0),((HOUR(BV7)*60)+MINUTE(BV7))-((HOUR(BU7)*60)+MINUTE(BU7)),"")</f>
        <v>9</v>
      </c>
      <c r="BZ7" s="19" t="s">
        <v>30</v>
      </c>
      <c r="CA7" s="19" t="n">
        <v>0.407638888888889</v>
      </c>
      <c r="CB7" s="19" t="n">
        <v>0.458333333333333</v>
      </c>
      <c r="CC7" s="1" t="str">
        <f aca="false">"[""" &amp; BZ7 &amp; """, """ &amp; IF(CA7="","",TEXT(CA7,"h:mm")) &amp; """, """ &amp; IF(CB7="","",TEXT(CB7,"h:mm")) &amp; """],"</f>
        <v>["菱浦", "9:47", "11:00"],</v>
      </c>
      <c r="CD7" s="18" t="n">
        <f aca="false">IF(AND(LEN(CA7)&lt;&gt;0,LEN(CB7)&lt;&gt;0),((HOUR(CB7)*60)+MINUTE(CB7))-((HOUR(CA7)*60)+MINUTE(CA7)),"")</f>
        <v>73</v>
      </c>
      <c r="CE7" s="19" t="s">
        <v>30</v>
      </c>
      <c r="CF7" s="19" t="n">
        <v>0.668055555555556</v>
      </c>
      <c r="CG7" s="19" t="n">
        <v>0.722222222222222</v>
      </c>
      <c r="CH7" s="1" t="str">
        <f aca="false">"[""" &amp; CE7 &amp; """, """ &amp; IF(CF7="","",TEXT(CF7,"h:mm")) &amp; """, """ &amp; IF(CG7="","",TEXT(CG7,"h:mm")) &amp; """],"</f>
        <v>["菱浦", "16:02", "17:20"],</v>
      </c>
      <c r="CI7" s="18" t="n">
        <f aca="false">IF(AND(LEN(CF7)&lt;&gt;0,LEN(CG7)&lt;&gt;0),((HOUR(CG7)*60)+MINUTE(CG7))-((HOUR(CF7)*60)+MINUTE(CF7)),"")</f>
        <v>78</v>
      </c>
      <c r="CJ7" s="19" t="s">
        <v>30</v>
      </c>
      <c r="CK7" s="19" t="n">
        <v>0.334722222222222</v>
      </c>
      <c r="CL7" s="19" t="n">
        <v>0.347222222222222</v>
      </c>
      <c r="CM7" s="1" t="str">
        <f aca="false">"[""" &amp; CJ7 &amp; """, """ &amp; IF(CK7="","",TEXT(CK7,"h:mm")) &amp; """, """ &amp; IF(CL7="","",TEXT(CL7,"h:mm")) &amp; """],"</f>
        <v>["菱浦", "8:02", "8:20"],</v>
      </c>
      <c r="CN7" s="18" t="n">
        <f aca="false">IF(AND(LEN(CK7)&lt;&gt;0,LEN(CL7)&lt;&gt;0),((HOUR(CL7)*60)+MINUTE(CL7))-((HOUR(CK7)*60)+MINUTE(CK7)),"")</f>
        <v>18</v>
      </c>
      <c r="CO7" s="19" t="s">
        <v>30</v>
      </c>
      <c r="CP7" s="19" t="n">
        <v>0.334722222222222</v>
      </c>
      <c r="CQ7" s="19" t="n">
        <v>0.347222222222222</v>
      </c>
      <c r="CR7" s="1" t="str">
        <f aca="false">"[""" &amp; CO7 &amp; """, """ &amp; IF(CP7="","",TEXT(CP7,"h:mm")) &amp; """, """ &amp; IF(CQ7="","",TEXT(CQ7,"h:mm")) &amp; """],"</f>
        <v>["菱浦", "8:02", "8:20"],</v>
      </c>
      <c r="CS7" s="18" t="n">
        <f aca="false">IF(AND(LEN(CP7)&lt;&gt;0,LEN(CQ7)&lt;&gt;0),((HOUR(CQ7)*60)+MINUTE(CQ7))-((HOUR(CP7)*60)+MINUTE(CP7)),"")</f>
        <v>18</v>
      </c>
      <c r="CU7" s="20" t="s">
        <v>29</v>
      </c>
      <c r="CV7" s="20" t="n">
        <v>0.345833333333333</v>
      </c>
      <c r="CW7" s="20" t="n">
        <v>0.347222222222222</v>
      </c>
      <c r="CX7" s="1" t="str">
        <f aca="false">"[""" &amp; CU7 &amp; """, """ &amp; IF(CV7="","",TEXT(CV7,"h:mm")) &amp; """, """ &amp; IF(CW7="","",TEXT(CW7,"h:mm")) &amp; """],"</f>
        <v>["別府", "8:18", "8:20"],</v>
      </c>
      <c r="CY7" s="18" t="n">
        <f aca="false">IF(AND(LEN(CV7)&lt;&gt;0,LEN(CW7)&lt;&gt;0),((HOUR(CW7)*60)+MINUTE(CW7))-((HOUR(CV7)*60)+MINUTE(CV7)),"")</f>
        <v>2</v>
      </c>
      <c r="CZ7" s="20" t="s">
        <v>29</v>
      </c>
      <c r="DA7" s="20" t="n">
        <v>0.322222222222222</v>
      </c>
      <c r="DB7" s="20" t="n">
        <v>0.323611111111111</v>
      </c>
      <c r="DC7" s="1" t="str">
        <f aca="false">"[""" &amp; CZ7 &amp; """, """ &amp; IF(DA7="","",TEXT(DA7,"h:mm")) &amp; """, """ &amp; IF(DB7="","",TEXT(DB7,"h:mm")) &amp; """],"</f>
        <v>["別府", "7:44", "7:46"],</v>
      </c>
      <c r="DD7" s="18" t="n">
        <f aca="false">IF(AND(LEN(DA7)&lt;&gt;0,LEN(DB7)&lt;&gt;0),((HOUR(DB7)*60)+MINUTE(DB7))-((HOUR(DA7)*60)+MINUTE(DA7)),"")</f>
        <v>2</v>
      </c>
      <c r="DE7" s="20" t="s">
        <v>29</v>
      </c>
      <c r="DF7" s="20" t="n">
        <v>0.322222222222222</v>
      </c>
      <c r="DG7" s="20" t="n">
        <v>0.323611111111111</v>
      </c>
      <c r="DH7" s="1" t="str">
        <f aca="false">"[""" &amp; DE7 &amp; """, """ &amp; IF(DF7="","",TEXT(DF7,"h:mm")) &amp; """, """ &amp; IF(DG7="","",TEXT(DG7,"h:mm")) &amp; """],"</f>
        <v>["別府", "7:44", "7:46"],</v>
      </c>
      <c r="DI7" s="18" t="n">
        <f aca="false">IF(AND(LEN(DF7)&lt;&gt;0,LEN(DG7)&lt;&gt;0),((HOUR(DG7)*60)+MINUTE(DG7))-((HOUR(DF7)*60)+MINUTE(DF7)),"")</f>
        <v>2</v>
      </c>
      <c r="DJ7" s="20" t="s">
        <v>29</v>
      </c>
      <c r="DK7" s="20" t="n">
        <v>0.322222222222222</v>
      </c>
      <c r="DL7" s="20" t="n">
        <v>0.323611111111111</v>
      </c>
      <c r="DM7" s="1" t="str">
        <f aca="false">"[""" &amp; DJ7 &amp; """, """ &amp; IF(DK7="","",TEXT(DK7,"h:mm")) &amp; """, """ &amp; IF(DL7="","",TEXT(DL7,"h:mm")) &amp; """],"</f>
        <v>["別府", "7:44", "7:46"],</v>
      </c>
      <c r="DN7" s="18" t="n">
        <f aca="false">IF(AND(LEN(DK7)&lt;&gt;0,LEN(DL7)&lt;&gt;0),((HOUR(DL7)*60)+MINUTE(DL7))-((HOUR(DK7)*60)+MINUTE(DK7)),"")</f>
        <v>2</v>
      </c>
      <c r="DO7" s="20" t="s">
        <v>29</v>
      </c>
      <c r="DP7" s="20" t="n">
        <v>0.322222222222222</v>
      </c>
      <c r="DQ7" s="20" t="n">
        <v>0.323611111111111</v>
      </c>
      <c r="DR7" s="1" t="str">
        <f aca="false">"[""" &amp; DO7 &amp; """, """ &amp; IF(DP7="","",TEXT(DP7,"h:mm")) &amp; """, """ &amp; IF(DQ7="","",TEXT(DQ7,"h:mm")) &amp; """],"</f>
        <v>["別府", "7:44", "7:46"],</v>
      </c>
      <c r="DS7" s="18" t="n">
        <f aca="false">IF(AND(LEN(DP7)&lt;&gt;0,LEN(DQ7)&lt;&gt;0),((HOUR(DQ7)*60)+MINUTE(DQ7))-((HOUR(DP7)*60)+MINUTE(DP7)),"")</f>
        <v>2</v>
      </c>
      <c r="DT7" s="20" t="s">
        <v>29</v>
      </c>
      <c r="DU7" s="20" t="n">
        <v>0.345833333333333</v>
      </c>
      <c r="DV7" s="20" t="n">
        <v>0.347222222222222</v>
      </c>
      <c r="DW7" s="1" t="str">
        <f aca="false">"[""" &amp; DT7 &amp; """, """ &amp; IF(DU7="","",TEXT(DU7,"h:mm")) &amp; """, """ &amp; IF(DV7="","",TEXT(DV7,"h:mm")) &amp; """],"</f>
        <v>["別府", "8:18", "8:20"],</v>
      </c>
      <c r="DX7" s="18" t="n">
        <f aca="false">IF(AND(LEN(DU7)&lt;&gt;0,LEN(DV7)&lt;&gt;0),((HOUR(DV7)*60)+MINUTE(DV7))-((HOUR(DU7)*60)+MINUTE(DU7)),"")</f>
        <v>2</v>
      </c>
      <c r="DY7" s="19" t="s">
        <v>30</v>
      </c>
      <c r="DZ7" s="19" t="n">
        <v>0.355555555555556</v>
      </c>
      <c r="EA7" s="19" t="n">
        <v>0.356944444444444</v>
      </c>
      <c r="EB7" s="1" t="str">
        <f aca="false">"[""" &amp; DY7 &amp; """, """ &amp; IF(DZ7="","",TEXT(DZ7,"h:mm")) &amp; """, """ &amp; IF(EA7="","",TEXT(EA7,"h:mm")) &amp; """],"</f>
        <v>["菱浦", "8:32", "8:34"],</v>
      </c>
      <c r="EC7" s="18" t="n">
        <f aca="false">IF(AND(LEN(DZ7)&lt;&gt;0,LEN(EA7)&lt;&gt;0),((HOUR(EA7)*60)+MINUTE(EA7))-((HOUR(DZ7)*60)+MINUTE(DZ7)),"")</f>
        <v>2</v>
      </c>
      <c r="ED7" s="19" t="s">
        <v>30</v>
      </c>
      <c r="EE7" s="19" t="n">
        <v>0.355555555555556</v>
      </c>
      <c r="EF7" s="19" t="n">
        <v>0.356944444444444</v>
      </c>
      <c r="EG7" s="1" t="str">
        <f aca="false">"[""" &amp; ED7 &amp; """, """ &amp; IF(EE7="","",TEXT(EE7,"h:mm")) &amp; """, """ &amp; IF(EF7="","",TEXT(EF7,"h:mm")) &amp; """],"</f>
        <v>["菱浦", "8:32", "8:34"],</v>
      </c>
      <c r="EH7" s="18" t="n">
        <f aca="false">IF(AND(LEN(EE7)&lt;&gt;0,LEN(EF7)&lt;&gt;0),((HOUR(EF7)*60)+MINUTE(EF7))-((HOUR(EE7)*60)+MINUTE(EE7)),"")</f>
        <v>2</v>
      </c>
      <c r="EI7" s="19" t="s">
        <v>30</v>
      </c>
      <c r="EJ7" s="19" t="n">
        <v>0.355555555555556</v>
      </c>
      <c r="EK7" s="19" t="n">
        <v>0.356944444444444</v>
      </c>
      <c r="EL7" s="1" t="str">
        <f aca="false">"[""" &amp; EI7 &amp; """, """ &amp; IF(EJ7="","",TEXT(EJ7,"h:mm")) &amp; """, """ &amp; IF(EK7="","",TEXT(EK7,"h:mm")) &amp; """],"</f>
        <v>["菱浦", "8:32", "8:34"],</v>
      </c>
      <c r="EM7" s="18" t="n">
        <f aca="false">IF(AND(LEN(EJ7)&lt;&gt;0,LEN(EK7)&lt;&gt;0),((HOUR(EK7)*60)+MINUTE(EK7))-((HOUR(EJ7)*60)+MINUTE(EJ7)),"")</f>
        <v>2</v>
      </c>
      <c r="EN7" s="19" t="s">
        <v>30</v>
      </c>
      <c r="EO7" s="19" t="n">
        <v>0.355555555555556</v>
      </c>
      <c r="EP7" s="19" t="n">
        <v>0.356944444444444</v>
      </c>
      <c r="EQ7" s="1" t="str">
        <f aca="false">"[""" &amp; EN7 &amp; """, """ &amp; IF(EO7="","",TEXT(EO7,"h:mm")) &amp; """, """ &amp; IF(EP7="","",TEXT(EP7,"h:mm")) &amp; """],"</f>
        <v>["菱浦", "8:32", "8:34"],</v>
      </c>
      <c r="ER7" s="18" t="n">
        <f aca="false">IF(AND(LEN(EO7)&lt;&gt;0,LEN(EP7)&lt;&gt;0),((HOUR(EP7)*60)+MINUTE(EP7))-((HOUR(EO7)*60)+MINUTE(EO7)),"")</f>
        <v>2</v>
      </c>
    </row>
    <row r="8" customFormat="false" ht="18" hidden="false" customHeight="false" outlineLevel="0" collapsed="false">
      <c r="A8" s="16" t="s">
        <v>29</v>
      </c>
      <c r="B8" s="16" t="n">
        <v>0.565972222222222</v>
      </c>
      <c r="C8" s="17" t="n">
        <v>0.576388888888889</v>
      </c>
      <c r="D8" s="1" t="str">
        <f aca="false">"[""" &amp; A8 &amp; """, """ &amp; IF(B8="","",TEXT(B8,"h:mm")) &amp; """, """ &amp; IF(C8="","",TEXT(C8,"h:mm")) &amp; """],"</f>
        <v>["別府", "13:35", "13:50"],</v>
      </c>
      <c r="E8" s="18" t="n">
        <f aca="false">IF(AND(LEN(B8)&lt;&gt;0,LEN(C8)&lt;&gt;0),((HOUR(C8)*60)+MINUTE(C8))-((HOUR(B8)*60)+MINUTE(B8)),"")</f>
        <v>15</v>
      </c>
      <c r="F8" s="16" t="s">
        <v>31</v>
      </c>
      <c r="G8" s="16" t="n">
        <v>0.451388888888889</v>
      </c>
      <c r="H8" s="17" t="n">
        <v>0.454861111111111</v>
      </c>
      <c r="I8" s="1" t="str">
        <f aca="false">"[""" &amp; F8 &amp; """, """ &amp; IF(G8="","",TEXT(G8,"h:mm")) &amp; """, """ &amp; IF(H8="","",TEXT(H8,"h:mm")) &amp; """],"</f>
        <v>["来居", "10:50", "10:55"],</v>
      </c>
      <c r="J8" s="18" t="n">
        <f aca="false">IF(AND(LEN(G8)&lt;&gt;0,LEN(H8)&lt;&gt;0),((HOUR(H8)*60)+MINUTE(H8))-((HOUR(G8)*60)+MINUTE(G8)),"")</f>
        <v>5</v>
      </c>
      <c r="K8" s="16" t="s">
        <v>29</v>
      </c>
      <c r="L8" s="16" t="n">
        <v>0.572916666666667</v>
      </c>
      <c r="M8" s="17" t="n">
        <v>0.583333333333333</v>
      </c>
      <c r="N8" s="1" t="str">
        <f aca="false">"[""" &amp; K8 &amp; """, """ &amp; IF(L8="","",TEXT(L8,"h:mm")) &amp; """, """ &amp; IF(M8="","",TEXT(M8,"h:mm")) &amp; """],"</f>
        <v>["別府", "13:45", "14:00"],</v>
      </c>
      <c r="O8" s="18" t="n">
        <f aca="false">IF(AND(LEN(L8)&lt;&gt;0,LEN(M8)&lt;&gt;0),((HOUR(M8)*60)+MINUTE(M8))-((HOUR(L8)*60)+MINUTE(L8)),"")</f>
        <v>15</v>
      </c>
      <c r="P8" s="16" t="s">
        <v>31</v>
      </c>
      <c r="Q8" s="16" t="n">
        <v>0.451388888888889</v>
      </c>
      <c r="R8" s="17" t="n">
        <v>0.454861111111111</v>
      </c>
      <c r="S8" s="1" t="str">
        <f aca="false">"[""" &amp; P8 &amp; """, """ &amp; IF(Q8="","",TEXT(Q8,"h:mm")) &amp; """, """ &amp; IF(R8="","",TEXT(R8,"h:mm")) &amp; """],"</f>
        <v>["来居", "10:50", "10:55"],</v>
      </c>
      <c r="T8" s="18" t="n">
        <f aca="false">IF(AND(LEN(Q8)&lt;&gt;0,LEN(R8)&lt;&gt;0),((HOUR(R8)*60)+MINUTE(R8))-((HOUR(Q8)*60)+MINUTE(Q8)),"")</f>
        <v>5</v>
      </c>
      <c r="U8" s="16" t="s">
        <v>29</v>
      </c>
      <c r="V8" s="16" t="n">
        <v>0.645833333333333</v>
      </c>
      <c r="W8" s="17" t="n">
        <v>0.65625</v>
      </c>
      <c r="X8" s="1" t="str">
        <f aca="false">"[""" &amp; U8 &amp; """, """ &amp; IF(V8="","",TEXT(V8,"h:mm")) &amp; """, """ &amp; IF(W8="","",TEXT(W8,"h:mm")) &amp; """],"</f>
        <v>["別府", "15:30", "15:45"],</v>
      </c>
      <c r="Y8" s="18" t="n">
        <f aca="false">IF(AND(LEN(V8)&lt;&gt;0,LEN(W8)&lt;&gt;0),((HOUR(W8)*60)+MINUTE(W8))-((HOUR(V8)*60)+MINUTE(V8)),"")</f>
        <v>15</v>
      </c>
      <c r="Z8" s="16" t="s">
        <v>30</v>
      </c>
      <c r="AA8" s="16" t="n">
        <v>0.527777777777778</v>
      </c>
      <c r="AB8" s="17" t="n">
        <v>0.534722222222222</v>
      </c>
      <c r="AC8" s="1" t="str">
        <f aca="false">"[""" &amp; Z8 &amp; """, """ &amp; IF(AA8="","",TEXT(AA8,"h:mm")) &amp; """, """ &amp; IF(AB8="","",TEXT(AB8,"h:mm")) &amp; """],"</f>
        <v>["菱浦", "12:40", "12:50"],</v>
      </c>
      <c r="AD8" s="18" t="n">
        <f aca="false">IF(AND(LEN(AA8)&lt;&gt;0,LEN(AB8)&lt;&gt;0),((HOUR(AB8)*60)+MINUTE(AB8))-((HOUR(AA8)*60)+MINUTE(AA8)),"")</f>
        <v>10</v>
      </c>
      <c r="AE8" s="16" t="s">
        <v>31</v>
      </c>
      <c r="AF8" s="16" t="n">
        <v>0.451388888888889</v>
      </c>
      <c r="AG8" s="17" t="n">
        <v>0.454861111111111</v>
      </c>
      <c r="AH8" s="1" t="str">
        <f aca="false">"[""" &amp; AE8 &amp; """, """ &amp; IF(AF8="","",TEXT(AF8,"h:mm")) &amp; """, """ &amp; IF(AG8="","",TEXT(AG8,"h:mm")) &amp; """],"</f>
        <v>["来居", "10:50", "10:55"],</v>
      </c>
      <c r="AI8" s="18" t="n">
        <f aca="false">IF(AND(LEN(AF8)&lt;&gt;0,LEN(AG8)&lt;&gt;0),((HOUR(AG8)*60)+MINUTE(AG8))-((HOUR(AF8)*60)+MINUTE(AF8)),"")</f>
        <v>5</v>
      </c>
      <c r="AJ8" s="16" t="s">
        <v>28</v>
      </c>
      <c r="AK8" s="17" t="n">
        <v>0.715277777777778</v>
      </c>
      <c r="AL8" s="17" t="n">
        <v>0.732638888888889</v>
      </c>
      <c r="AM8" s="1" t="str">
        <f aca="false">"[""" &amp; AJ8 &amp; """, """ &amp; IF(AK8="","",TEXT(AK8,"h:mm")) &amp; """, """ &amp; IF(AL8="","",TEXT(AL8,"h:mm")) &amp; """],"</f>
        <v>["西郷", "17:10", "17:35"],</v>
      </c>
      <c r="AN8" s="18" t="n">
        <f aca="false">IF(AND(LEN(AK8)&lt;&gt;0,LEN(AL8)&lt;&gt;0),((HOUR(AL8)*60)+MINUTE(AL8))-((HOUR(AK8)*60)+MINUTE(AK8)),"")</f>
        <v>25</v>
      </c>
      <c r="AO8" s="16" t="s">
        <v>30</v>
      </c>
      <c r="AP8" s="16" t="n">
        <v>0.527777777777778</v>
      </c>
      <c r="AQ8" s="17" t="n">
        <v>0.534722222222222</v>
      </c>
      <c r="AR8" s="1" t="str">
        <f aca="false">"[""" &amp; AO8 &amp; """, """ &amp; IF(AP8="","",TEXT(AP8,"h:mm")) &amp; """, """ &amp; IF(AQ8="","",TEXT(AQ8,"h:mm")) &amp; """],"</f>
        <v>["菱浦", "12:40", "12:50"],</v>
      </c>
      <c r="AS8" s="18" t="n">
        <f aca="false">IF(AND(LEN(AP8)&lt;&gt;0,LEN(AQ8)&lt;&gt;0),((HOUR(AQ8)*60)+MINUTE(AQ8))-((HOUR(AP8)*60)+MINUTE(AP8)),"")</f>
        <v>10</v>
      </c>
      <c r="AT8" s="16" t="s">
        <v>31</v>
      </c>
      <c r="AU8" s="16" t="n">
        <v>0.451388888888889</v>
      </c>
      <c r="AV8" s="17" t="n">
        <v>0.454861111111111</v>
      </c>
      <c r="AW8" s="1" t="str">
        <f aca="false">"[""" &amp; AT8 &amp; """, """ &amp; IF(AU8="","",TEXT(AU8,"h:mm")) &amp; """, """ &amp; IF(AV8="","",TEXT(AV8,"h:mm")) &amp; """],"</f>
        <v>["来居", "10:50", "10:55"],</v>
      </c>
      <c r="AX8" s="18" t="n">
        <f aca="false">IF(AND(LEN(AU8)&lt;&gt;0,LEN(AV8)&lt;&gt;0),((HOUR(AV8)*60)+MINUTE(AV8))-((HOUR(AU8)*60)+MINUTE(AU8)),"")</f>
        <v>5</v>
      </c>
      <c r="AZ8" s="16" t="s">
        <v>32</v>
      </c>
      <c r="BA8" s="17" t="n">
        <v>0.428472222222222</v>
      </c>
      <c r="BB8" s="17" t="n">
        <v>0.673611111111111</v>
      </c>
      <c r="BC8" s="1" t="str">
        <f aca="false">"[""" &amp; AZ8 &amp; """, """ &amp; IF(BA8="","",TEXT(BA8,"h:mm")) &amp; """, """ &amp; IF(BB8="","",TEXT(BB8,"h:mm")) &amp; """],"</f>
        <v>["境港", "10:17", "16:10"],</v>
      </c>
      <c r="BD8" s="18" t="n">
        <f aca="false">IF(AND(LEN(BA8)&lt;&gt;0,LEN(BB8)&lt;&gt;0),((HOUR(BB8)*60)+MINUTE(BB8))-((HOUR(BA8)*60)+MINUTE(BA8)),"")</f>
        <v>353</v>
      </c>
      <c r="BE8" s="16" t="s">
        <v>27</v>
      </c>
      <c r="BF8" s="17" t="n">
        <v>0.41875</v>
      </c>
      <c r="BG8" s="17" t="n">
        <v>0.701388888888889</v>
      </c>
      <c r="BH8" s="1" t="str">
        <f aca="false">"[""" &amp; BE8 &amp; """, """ &amp; IF(BF8="","",TEXT(BF8,"h:mm")) &amp; """, """ &amp; IF(BG8="","",TEXT(BG8,"h:mm")) &amp; """],"</f>
        <v>["七類", "10:03", "16:50"],</v>
      </c>
      <c r="BI8" s="18" t="n">
        <f aca="false">IF(AND(LEN(BF8)&lt;&gt;0,LEN(BG8)&lt;&gt;0),((HOUR(BG8)*60)+MINUTE(BG8))-((HOUR(BF8)*60)+MINUTE(BF8)),"")</f>
        <v>407</v>
      </c>
      <c r="BJ8" s="16" t="s">
        <v>32</v>
      </c>
      <c r="BK8" s="17" t="n">
        <v>0.415277777777778</v>
      </c>
      <c r="BL8" s="17" t="n">
        <v>0.5</v>
      </c>
      <c r="BM8" s="1" t="str">
        <f aca="false">"[""" &amp; BJ8 &amp; """, """ &amp; IF(BK8="","",TEXT(BK8,"h:mm")) &amp; """, """ &amp; IF(BL8="","",TEXT(BL8,"h:mm")) &amp; """],"</f>
        <v>["境港", "9:58", "12:00"],</v>
      </c>
      <c r="BN8" s="18" t="n">
        <f aca="false">IF(AND(LEN(BK8)&lt;&gt;0,LEN(BL8)&lt;&gt;0),((HOUR(BL8)*60)+MINUTE(BL8))-((HOUR(BK8)*60)+MINUTE(BK8)),"")</f>
        <v>122</v>
      </c>
      <c r="BO8" s="16" t="s">
        <v>27</v>
      </c>
      <c r="BP8" s="17" t="n">
        <v>0.41875</v>
      </c>
      <c r="BQ8" s="17" t="n">
        <v>0.65625</v>
      </c>
      <c r="BR8" s="1" t="str">
        <f aca="false">"[""" &amp; BO8 &amp; """, """ &amp; IF(BP8="","",TEXT(BP8,"h:mm")) &amp; """, """ &amp; IF(BQ8="","",TEXT(BQ8,"h:mm")) &amp; """],"</f>
        <v>["七類", "10:03", "15:45"],</v>
      </c>
      <c r="BS8" s="18" t="n">
        <f aca="false">IF(AND(LEN(BP8)&lt;&gt;0,LEN(BQ8)&lt;&gt;0),((HOUR(BQ8)*60)+MINUTE(BQ8))-((HOUR(BP8)*60)+MINUTE(BP8)),"")</f>
        <v>342</v>
      </c>
      <c r="BT8" s="16" t="s">
        <v>32</v>
      </c>
      <c r="BU8" s="17" t="n">
        <v>0.428472222222222</v>
      </c>
      <c r="BV8" s="17" t="n">
        <v>0.631944444444444</v>
      </c>
      <c r="BW8" s="1" t="str">
        <f aca="false">"[""" &amp; BT8 &amp; """, """ &amp; IF(BU8="","",TEXT(BU8,"h:mm")) &amp; """, """ &amp; IF(BV8="","",TEXT(BV8,"h:mm")) &amp; """],"</f>
        <v>["境港", "10:17", "15:10"],</v>
      </c>
      <c r="BX8" s="18" t="n">
        <f aca="false">IF(AND(LEN(BU8)&lt;&gt;0,LEN(BV8)&lt;&gt;0),((HOUR(BV8)*60)+MINUTE(BV8))-((HOUR(BU8)*60)+MINUTE(BU8)),"")</f>
        <v>293</v>
      </c>
      <c r="BZ8" s="20" t="s">
        <v>29</v>
      </c>
      <c r="CA8" s="20" t="n">
        <v>0.46875</v>
      </c>
      <c r="CB8" s="20" t="n">
        <v>0.479166666666667</v>
      </c>
      <c r="CC8" s="1" t="str">
        <f aca="false">"[""" &amp; BZ8 &amp; """, """ &amp; IF(CA8="","",TEXT(CA8,"h:mm")) &amp; """, """ &amp; IF(CB8="","",TEXT(CB8,"h:mm")) &amp; """],"</f>
        <v>["別府", "11:15", "11:30"],</v>
      </c>
      <c r="CD8" s="18" t="n">
        <f aca="false">IF(AND(LEN(CA8)&lt;&gt;0,LEN(CB8)&lt;&gt;0),((HOUR(CB8)*60)+MINUTE(CB8))-((HOUR(CA8)*60)+MINUTE(CA8)),"")</f>
        <v>15</v>
      </c>
      <c r="CE8" s="20" t="s">
        <v>29</v>
      </c>
      <c r="CF8" s="20" t="n">
        <v>0.732638888888889</v>
      </c>
      <c r="CG8" s="20" t="n">
        <v>0.736111111111111</v>
      </c>
      <c r="CH8" s="1" t="str">
        <f aca="false">"[""" &amp; CE8 &amp; """, """ &amp; IF(CF8="","",TEXT(CF8,"h:mm")) &amp; """, """ &amp; IF(CG8="","",TEXT(CG8,"h:mm")) &amp; """],"</f>
        <v>["別府", "17:35", "17:40"],</v>
      </c>
      <c r="CI8" s="18" t="n">
        <f aca="false">IF(AND(LEN(CF8)&lt;&gt;0,LEN(CG8)&lt;&gt;0),((HOUR(CG8)*60)+MINUTE(CG8))-((HOUR(CF8)*60)+MINUTE(CF8)),"")</f>
        <v>5</v>
      </c>
      <c r="CJ8" s="20" t="s">
        <v>29</v>
      </c>
      <c r="CK8" s="20" t="n">
        <v>0.357638888888889</v>
      </c>
      <c r="CL8" s="20" t="n">
        <v>0.361111111111111</v>
      </c>
      <c r="CM8" s="1" t="str">
        <f aca="false">"[""" &amp; CJ8 &amp; """, """ &amp; IF(CK8="","",TEXT(CK8,"h:mm")) &amp; """, """ &amp; IF(CL8="","",TEXT(CL8,"h:mm")) &amp; """],"</f>
        <v>["別府", "8:35", "8:40"],</v>
      </c>
      <c r="CN8" s="18" t="n">
        <f aca="false">IF(AND(LEN(CK8)&lt;&gt;0,LEN(CL8)&lt;&gt;0),((HOUR(CL8)*60)+MINUTE(CL8))-((HOUR(CK8)*60)+MINUTE(CK8)),"")</f>
        <v>5</v>
      </c>
      <c r="CO8" s="20" t="s">
        <v>29</v>
      </c>
      <c r="CP8" s="20" t="n">
        <v>0.357638888888889</v>
      </c>
      <c r="CQ8" s="20" t="n">
        <v>0.361111111111111</v>
      </c>
      <c r="CR8" s="1" t="str">
        <f aca="false">"[""" &amp; CO8 &amp; """, """ &amp; IF(CP8="","",TEXT(CP8,"h:mm")) &amp; """, """ &amp; IF(CQ8="","",TEXT(CQ8,"h:mm")) &amp; """],"</f>
        <v>["別府", "8:35", "8:40"],</v>
      </c>
      <c r="CS8" s="18" t="n">
        <f aca="false">IF(AND(LEN(CP8)&lt;&gt;0,LEN(CQ8)&lt;&gt;0),((HOUR(CQ8)*60)+MINUTE(CQ8))-((HOUR(CP8)*60)+MINUTE(CP8)),"")</f>
        <v>5</v>
      </c>
      <c r="CU8" s="21" t="s">
        <v>31</v>
      </c>
      <c r="CV8" s="22" t="n">
        <v>0.360416666666667</v>
      </c>
      <c r="CW8" s="22" t="n">
        <v>0.361805555555556</v>
      </c>
      <c r="CX8" s="1" t="str">
        <f aca="false">"[""" &amp; CU8 &amp; """, """ &amp; IF(CV8="","",TEXT(CV8,"h:mm")) &amp; """, """ &amp; IF(CW8="","",TEXT(CW8,"h:mm")) &amp; """],"</f>
        <v>["来居", "8:39", "8:41"],</v>
      </c>
      <c r="CY8" s="18" t="n">
        <f aca="false">IF(AND(LEN(CV8)&lt;&gt;0,LEN(CW8)&lt;&gt;0),((HOUR(CW8)*60)+MINUTE(CW8))-((HOUR(CV8)*60)+MINUTE(CV8)),"")</f>
        <v>2</v>
      </c>
      <c r="CZ8" s="21" t="s">
        <v>31</v>
      </c>
      <c r="DA8" s="22" t="n">
        <v>0.335416666666667</v>
      </c>
      <c r="DB8" s="22" t="n">
        <v>0.336805555555556</v>
      </c>
      <c r="DC8" s="1" t="str">
        <f aca="false">"[""" &amp; CZ8 &amp; """, """ &amp; IF(DA8="","",TEXT(DA8,"h:mm")) &amp; """, """ &amp; IF(DB8="","",TEXT(DB8,"h:mm")) &amp; """],"</f>
        <v>["来居", "8:03", "8:05"],</v>
      </c>
      <c r="DD8" s="18" t="n">
        <f aca="false">IF(AND(LEN(DA8)&lt;&gt;0,LEN(DB8)&lt;&gt;0),((HOUR(DB8)*60)+MINUTE(DB8))-((HOUR(DA8)*60)+MINUTE(DA8)),"")</f>
        <v>2</v>
      </c>
      <c r="DE8" s="21" t="s">
        <v>31</v>
      </c>
      <c r="DF8" s="22" t="n">
        <v>0.335416666666667</v>
      </c>
      <c r="DG8" s="22" t="n">
        <v>0.336805555555556</v>
      </c>
      <c r="DH8" s="1" t="str">
        <f aca="false">"[""" &amp; DE8 &amp; """, """ &amp; IF(DF8="","",TEXT(DF8,"h:mm")) &amp; """, """ &amp; IF(DG8="","",TEXT(DG8,"h:mm")) &amp; """],"</f>
        <v>["来居", "8:03", "8:05"],</v>
      </c>
      <c r="DI8" s="18" t="n">
        <f aca="false">IF(AND(LEN(DF8)&lt;&gt;0,LEN(DG8)&lt;&gt;0),((HOUR(DG8)*60)+MINUTE(DG8))-((HOUR(DF8)*60)+MINUTE(DF8)),"")</f>
        <v>2</v>
      </c>
      <c r="DJ8" s="21" t="s">
        <v>31</v>
      </c>
      <c r="DK8" s="22" t="n">
        <v>0.335416666666667</v>
      </c>
      <c r="DL8" s="22" t="n">
        <v>0.336805555555556</v>
      </c>
      <c r="DM8" s="1" t="str">
        <f aca="false">"[""" &amp; DJ8 &amp; """, """ &amp; IF(DK8="","",TEXT(DK8,"h:mm")) &amp; """, """ &amp; IF(DL8="","",TEXT(DL8,"h:mm")) &amp; """],"</f>
        <v>["来居", "8:03", "8:05"],</v>
      </c>
      <c r="DN8" s="18" t="n">
        <f aca="false">IF(AND(LEN(DK8)&lt;&gt;0,LEN(DL8)&lt;&gt;0),((HOUR(DL8)*60)+MINUTE(DL8))-((HOUR(DK8)*60)+MINUTE(DK8)),"")</f>
        <v>2</v>
      </c>
      <c r="DO8" s="21" t="s">
        <v>31</v>
      </c>
      <c r="DP8" s="22" t="n">
        <v>0.335416666666667</v>
      </c>
      <c r="DQ8" s="22" t="n">
        <v>0.336805555555556</v>
      </c>
      <c r="DR8" s="1" t="str">
        <f aca="false">"[""" &amp; DO8 &amp; """, """ &amp; IF(DP8="","",TEXT(DP8,"h:mm")) &amp; """, """ &amp; IF(DQ8="","",TEXT(DQ8,"h:mm")) &amp; """],"</f>
        <v>["来居", "8:03", "8:05"],</v>
      </c>
      <c r="DS8" s="18" t="n">
        <f aca="false">IF(AND(LEN(DP8)&lt;&gt;0,LEN(DQ8)&lt;&gt;0),((HOUR(DQ8)*60)+MINUTE(DQ8))-((HOUR(DP8)*60)+MINUTE(DP8)),"")</f>
        <v>2</v>
      </c>
      <c r="DT8" s="19" t="s">
        <v>30</v>
      </c>
      <c r="DU8" s="19" t="n">
        <v>0.352777777777778</v>
      </c>
      <c r="DV8" s="19" t="n">
        <v>0.377083333333333</v>
      </c>
      <c r="DW8" s="1" t="str">
        <f aca="false">"[""" &amp; DT8 &amp; """, """ &amp; IF(DU8="","",TEXT(DU8,"h:mm")) &amp; """, """ &amp; IF(DV8="","",TEXT(DV8,"h:mm")) &amp; """],"</f>
        <v>["菱浦", "8:28", "9:03"],</v>
      </c>
      <c r="DX8" s="18" t="n">
        <f aca="false">IF(AND(LEN(DU8)&lt;&gt;0,LEN(DV8)&lt;&gt;0),((HOUR(DV8)*60)+MINUTE(DV8))-((HOUR(DU8)*60)+MINUTE(DU8)),"")</f>
        <v>35</v>
      </c>
      <c r="DY8" s="20" t="s">
        <v>29</v>
      </c>
      <c r="DZ8" s="20" t="n">
        <v>0.361805555555556</v>
      </c>
      <c r="EA8" s="20" t="n">
        <v>0.386805555555556</v>
      </c>
      <c r="EB8" s="1" t="str">
        <f aca="false">"[""" &amp; DY8 &amp; """, """ &amp; IF(DZ8="","",TEXT(DZ8,"h:mm")) &amp; """, """ &amp; IF(EA8="","",TEXT(EA8,"h:mm")) &amp; """],"</f>
        <v>["別府", "8:41", "9:17"],</v>
      </c>
      <c r="EC8" s="18" t="n">
        <f aca="false">IF(AND(LEN(DZ8)&lt;&gt;0,LEN(EA8)&lt;&gt;0),((HOUR(EA8)*60)+MINUTE(EA8))-((HOUR(DZ8)*60)+MINUTE(DZ8)),"")</f>
        <v>36</v>
      </c>
      <c r="ED8" s="20" t="s">
        <v>29</v>
      </c>
      <c r="EE8" s="20" t="n">
        <v>0.361805555555556</v>
      </c>
      <c r="EF8" s="20" t="n">
        <v>0.386805555555556</v>
      </c>
      <c r="EG8" s="1" t="str">
        <f aca="false">"[""" &amp; ED8 &amp; """, """ &amp; IF(EE8="","",TEXT(EE8,"h:mm")) &amp; """, """ &amp; IF(EF8="","",TEXT(EF8,"h:mm")) &amp; """],"</f>
        <v>["別府", "8:41", "9:17"],</v>
      </c>
      <c r="EH8" s="18" t="n">
        <f aca="false">IF(AND(LEN(EE8)&lt;&gt;0,LEN(EF8)&lt;&gt;0),((HOUR(EF8)*60)+MINUTE(EF8))-((HOUR(EE8)*60)+MINUTE(EE8)),"")</f>
        <v>36</v>
      </c>
      <c r="EI8" s="20" t="s">
        <v>29</v>
      </c>
      <c r="EJ8" s="20" t="n">
        <v>0.361805555555556</v>
      </c>
      <c r="EK8" s="20" t="n">
        <v>0.386805555555556</v>
      </c>
      <c r="EL8" s="1" t="str">
        <f aca="false">"[""" &amp; EI8 &amp; """, """ &amp; IF(EJ8="","",TEXT(EJ8,"h:mm")) &amp; """, """ &amp; IF(EK8="","",TEXT(EK8,"h:mm")) &amp; """],"</f>
        <v>["別府", "8:41", "9:17"],</v>
      </c>
      <c r="EM8" s="18" t="n">
        <f aca="false">IF(AND(LEN(EJ8)&lt;&gt;0,LEN(EK8)&lt;&gt;0),((HOUR(EK8)*60)+MINUTE(EK8))-((HOUR(EJ8)*60)+MINUTE(EJ8)),"")</f>
        <v>36</v>
      </c>
      <c r="EN8" s="20" t="s">
        <v>29</v>
      </c>
      <c r="EO8" s="20" t="n">
        <v>0.361805555555556</v>
      </c>
      <c r="EP8" s="20" t="n">
        <v>0.386805555555556</v>
      </c>
      <c r="EQ8" s="1" t="str">
        <f aca="false">"[""" &amp; EN8 &amp; """, """ &amp; IF(EO8="","",TEXT(EO8,"h:mm")) &amp; """, """ &amp; IF(EP8="","",TEXT(EP8,"h:mm")) &amp; """],"</f>
        <v>["別府", "8:41", "9:17"],</v>
      </c>
      <c r="ER8" s="18" t="n">
        <f aca="false">IF(AND(LEN(EO8)&lt;&gt;0,LEN(EP8)&lt;&gt;0),((HOUR(EP8)*60)+MINUTE(EP8))-((HOUR(EO8)*60)+MINUTE(EO8)),"")</f>
        <v>36</v>
      </c>
    </row>
    <row r="9" customFormat="false" ht="18" hidden="false" customHeight="false" outlineLevel="0" collapsed="false">
      <c r="A9" s="16" t="s">
        <v>28</v>
      </c>
      <c r="B9" s="17" t="n">
        <v>0.625</v>
      </c>
      <c r="C9" s="17" t="n">
        <v>0.652777777777778</v>
      </c>
      <c r="D9" s="1" t="str">
        <f aca="false">"[""" &amp; A9 &amp; """, """ &amp; IF(B9="","",TEXT(B9,"h:mm")) &amp; """, """ &amp; IF(C9="","",TEXT(C9,"h:mm")) &amp; """],"</f>
        <v>["西郷", "15:00", "15:40"],</v>
      </c>
      <c r="E9" s="18" t="n">
        <f aca="false">IF(AND(LEN(B9)&lt;&gt;0,LEN(C9)&lt;&gt;0),((HOUR(C9)*60)+MINUTE(C9))-((HOUR(B9)*60)+MINUTE(B9)),"")</f>
        <v>40</v>
      </c>
      <c r="F9" s="16" t="s">
        <v>32</v>
      </c>
      <c r="G9" s="17" t="n">
        <v>0.555555555555556</v>
      </c>
      <c r="H9" s="17" t="n">
        <v>0.590277777777778</v>
      </c>
      <c r="I9" s="1" t="str">
        <f aca="false">"[""" &amp; F9 &amp; """, """ &amp; IF(G9="","",TEXT(G9,"h:mm")) &amp; """, """ &amp; IF(H9="","",TEXT(H9,"h:mm")) &amp; """],"</f>
        <v>["境港", "13:20", "14:10"],</v>
      </c>
      <c r="J9" s="18" t="n">
        <f aca="false">IF(AND(LEN(G9)&lt;&gt;0,LEN(H9)&lt;&gt;0),((HOUR(H9)*60)+MINUTE(H9))-((HOUR(G9)*60)+MINUTE(G9)),"")</f>
        <v>50</v>
      </c>
      <c r="K9" s="16" t="s">
        <v>28</v>
      </c>
      <c r="L9" s="17" t="n">
        <v>0.631944444444444</v>
      </c>
      <c r="M9" s="17" t="n">
        <v>0.652777777777778</v>
      </c>
      <c r="N9" s="1" t="str">
        <f aca="false">"[""" &amp; K9 &amp; """, """ &amp; IF(L9="","",TEXT(L9,"h:mm")) &amp; """, """ &amp; IF(M9="","",TEXT(M9,"h:mm")) &amp; """],"</f>
        <v>["西郷", "15:10", "15:40"],</v>
      </c>
      <c r="O9" s="18" t="n">
        <f aca="false">IF(AND(LEN(L9)&lt;&gt;0,LEN(M9)&lt;&gt;0),((HOUR(M9)*60)+MINUTE(M9))-((HOUR(L9)*60)+MINUTE(L9)),"")</f>
        <v>30</v>
      </c>
      <c r="P9" s="16" t="s">
        <v>32</v>
      </c>
      <c r="Q9" s="17" t="n">
        <v>0.555555555555556</v>
      </c>
      <c r="R9" s="17" t="n">
        <v>0.590277777777778</v>
      </c>
      <c r="S9" s="1" t="str">
        <f aca="false">"[""" &amp; P9 &amp; """, """ &amp; IF(Q9="","",TEXT(Q9,"h:mm")) &amp; """, """ &amp; IF(R9="","",TEXT(R9,"h:mm")) &amp; """],"</f>
        <v>["境港", "13:20", "14:10"],</v>
      </c>
      <c r="T9" s="18" t="n">
        <f aca="false">IF(AND(LEN(Q9)&lt;&gt;0,LEN(R9)&lt;&gt;0),((HOUR(R9)*60)+MINUTE(R9))-((HOUR(Q9)*60)+MINUTE(Q9)),"")</f>
        <v>50</v>
      </c>
      <c r="U9" s="16" t="s">
        <v>27</v>
      </c>
      <c r="V9" s="17" t="n">
        <v>0.746527777777778</v>
      </c>
      <c r="W9" s="16"/>
      <c r="X9" s="1" t="str">
        <f aca="false">"[""" &amp; U9 &amp; """, """ &amp; IF(V9="","",TEXT(V9,"h:mm")) &amp; """, """ &amp; IF(W9="","",TEXT(W9,"h:mm")) &amp; """]"</f>
        <v>["七類", "17:55", ""]</v>
      </c>
      <c r="Y9" s="18" t="str">
        <f aca="false">IF(AND(LEN(V9)&lt;&gt;0,LEN(W9)&lt;&gt;0),((HOUR(W9)*60)+MINUTE(W9))-((HOUR(V9)*60)+MINUTE(V9)),"")</f>
        <v/>
      </c>
      <c r="Z9" s="16" t="s">
        <v>28</v>
      </c>
      <c r="AA9" s="17" t="n">
        <v>0.583333333333333</v>
      </c>
      <c r="AB9" s="17" t="n">
        <v>0.631944444444444</v>
      </c>
      <c r="AC9" s="1" t="str">
        <f aca="false">"[""" &amp; Z9 &amp; """, """ &amp; IF(AA9="","",TEXT(AA9,"h:mm")) &amp; """, """ &amp; IF(AB9="","",TEXT(AB9,"h:mm")) &amp; """],"</f>
        <v>["西郷", "14:00", "15:10"],</v>
      </c>
      <c r="AD9" s="18" t="n">
        <f aca="false">IF(AND(LEN(AA9)&lt;&gt;0,LEN(AB9)&lt;&gt;0),((HOUR(AB9)*60)+MINUTE(AB9))-((HOUR(AA9)*60)+MINUTE(AA9)),"")</f>
        <v>70</v>
      </c>
      <c r="AE9" s="16" t="s">
        <v>32</v>
      </c>
      <c r="AF9" s="17" t="n">
        <v>0.555555555555556</v>
      </c>
      <c r="AG9" s="17" t="n">
        <v>0.600694444444444</v>
      </c>
      <c r="AH9" s="1" t="str">
        <f aca="false">"[""" &amp; AE9 &amp; """, """ &amp; IF(AF9="","",TEXT(AF9,"h:mm")) &amp; """, """ &amp; IF(AG9="","",TEXT(AG9,"h:mm")) &amp; """],"</f>
        <v>["境港", "13:20", "14:25"],</v>
      </c>
      <c r="AI9" s="18" t="n">
        <f aca="false">IF(AND(LEN(AF9)&lt;&gt;0,LEN(AG9)&lt;&gt;0),((HOUR(AG9)*60)+MINUTE(AG9))-((HOUR(AF9)*60)+MINUTE(AF9)),"")</f>
        <v>65</v>
      </c>
      <c r="AJ9" s="16" t="s">
        <v>27</v>
      </c>
      <c r="AK9" s="17" t="n">
        <v>0.833333333333333</v>
      </c>
      <c r="AL9" s="16"/>
      <c r="AM9" s="1" t="str">
        <f aca="false">"[""" &amp; AJ9 &amp; """, """ &amp; IF(AK9="","",TEXT(AK9,"h:mm")) &amp; """, """ &amp; IF(AL9="","",TEXT(AL9,"h:mm")) &amp; """]"</f>
        <v>["七類", "20:00", ""]</v>
      </c>
      <c r="AN9" s="18" t="str">
        <f aca="false">IF(AND(LEN(AK9)&lt;&gt;0,LEN(AL9)&lt;&gt;0),((HOUR(AL9)*60)+MINUTE(AL9))-((HOUR(AK9)*60)+MINUTE(AK9)),"")</f>
        <v/>
      </c>
      <c r="AO9" s="16" t="s">
        <v>28</v>
      </c>
      <c r="AP9" s="17" t="n">
        <v>0.583333333333333</v>
      </c>
      <c r="AQ9" s="17" t="n">
        <v>0.597222222222222</v>
      </c>
      <c r="AR9" s="1" t="str">
        <f aca="false">"[""" &amp; AO9 &amp; """, """ &amp; IF(AP9="","",TEXT(AP9,"h:mm")) &amp; """, """ &amp; IF(AQ9="","",TEXT(AQ9,"h:mm")) &amp; """],"</f>
        <v>["西郷", "14:00", "14:20"],</v>
      </c>
      <c r="AS9" s="18" t="n">
        <f aca="false">IF(AND(LEN(AP9)&lt;&gt;0,LEN(AQ9)&lt;&gt;0),((HOUR(AQ9)*60)+MINUTE(AQ9))-((HOUR(AP9)*60)+MINUTE(AP9)),"")</f>
        <v>20</v>
      </c>
      <c r="AT9" s="16" t="s">
        <v>32</v>
      </c>
      <c r="AU9" s="17" t="n">
        <v>0.555555555555556</v>
      </c>
      <c r="AV9" s="17" t="n">
        <v>0.600694444444444</v>
      </c>
      <c r="AW9" s="1" t="str">
        <f aca="false">"[""" &amp; AT9 &amp; """, """ &amp; IF(AU9="","",TEXT(AU9,"h:mm")) &amp; """, """ &amp; IF(AV9="","",TEXT(AV9,"h:mm")) &amp; """],"</f>
        <v>["境港", "13:20", "14:25"],</v>
      </c>
      <c r="AX9" s="18" t="n">
        <f aca="false">IF(AND(LEN(AU9)&lt;&gt;0,LEN(AV9)&lt;&gt;0),((HOUR(AV9)*60)+MINUTE(AV9))-((HOUR(AU9)*60)+MINUTE(AU9)),"")</f>
        <v>65</v>
      </c>
      <c r="AZ9" s="16" t="s">
        <v>28</v>
      </c>
      <c r="BA9" s="17" t="n">
        <v>0.73125</v>
      </c>
      <c r="BB9" s="17" t="n">
        <v>0.735416666666667</v>
      </c>
      <c r="BC9" s="1" t="str">
        <f aca="false">"[""" &amp; AZ9 &amp; """, """ &amp; IF(BA9="","",TEXT(BA9,"h:mm")) &amp; """, """ &amp; IF(BB9="","",TEXT(BB9,"h:mm")) &amp; """],"</f>
        <v>["西郷", "17:33", "17:39"],</v>
      </c>
      <c r="BD9" s="18" t="n">
        <f aca="false">IF(AND(LEN(BA9)&lt;&gt;0,LEN(BB9)&lt;&gt;0),((HOUR(BB9)*60)+MINUTE(BB9))-((HOUR(BA9)*60)+MINUTE(BA9)),"")</f>
        <v>6</v>
      </c>
      <c r="BE9" s="16" t="s">
        <v>28</v>
      </c>
      <c r="BF9" s="17" t="n">
        <v>0.749305555555556</v>
      </c>
      <c r="BG9" s="17" t="n">
        <v>0.753472222222222</v>
      </c>
      <c r="BH9" s="1" t="str">
        <f aca="false">"[""" &amp; BE9 &amp; """, """ &amp; IF(BF9="","",TEXT(BF9,"h:mm")) &amp; """, """ &amp; IF(BG9="","",TEXT(BG9,"h:mm")) &amp; """],"</f>
        <v>["西郷", "17:59", "18:05"],</v>
      </c>
      <c r="BI9" s="18" t="n">
        <f aca="false">IF(AND(LEN(BF9)&lt;&gt;0,LEN(BG9)&lt;&gt;0),((HOUR(BG9)*60)+MINUTE(BG9))-((HOUR(BF9)*60)+MINUTE(BF9)),"")</f>
        <v>6</v>
      </c>
      <c r="BJ9" s="16" t="s">
        <v>28</v>
      </c>
      <c r="BK9" s="17" t="n">
        <v>0.557638888888889</v>
      </c>
      <c r="BL9" s="17" t="n">
        <v>0.5625</v>
      </c>
      <c r="BM9" s="1" t="str">
        <f aca="false">"[""" &amp; BJ9 &amp; """, """ &amp; IF(BK9="","",TEXT(BK9,"h:mm")) &amp; """, """ &amp; IF(BL9="","",TEXT(BL9,"h:mm")) &amp; """],"</f>
        <v>["西郷", "13:23", "13:30"],</v>
      </c>
      <c r="BN9" s="18" t="n">
        <f aca="false">IF(AND(LEN(BK9)&lt;&gt;0,LEN(BL9)&lt;&gt;0),((HOUR(BL9)*60)+MINUTE(BL9))-((HOUR(BK9)*60)+MINUTE(BK9)),"")</f>
        <v>7</v>
      </c>
      <c r="BO9" s="16" t="s">
        <v>28</v>
      </c>
      <c r="BP9" s="17" t="n">
        <v>0.704166666666667</v>
      </c>
      <c r="BQ9" s="17" t="n">
        <v>0.708333333333333</v>
      </c>
      <c r="BR9" s="1" t="str">
        <f aca="false">"[""" &amp; BO9 &amp; """, """ &amp; IF(BP9="","",TEXT(BP9,"h:mm")) &amp; """, """ &amp; IF(BQ9="","",TEXT(BQ9,"h:mm")) &amp; """],"</f>
        <v>["西郷", "16:54", "17:00"],</v>
      </c>
      <c r="BS9" s="18" t="n">
        <f aca="false">IF(AND(LEN(BP9)&lt;&gt;0,LEN(BQ9)&lt;&gt;0),((HOUR(BQ9)*60)+MINUTE(BQ9))-((HOUR(BP9)*60)+MINUTE(BP9)),"")</f>
        <v>6</v>
      </c>
      <c r="BT9" s="16" t="s">
        <v>28</v>
      </c>
      <c r="BU9" s="17" t="n">
        <v>0.689583333333333</v>
      </c>
      <c r="BV9" s="17" t="n">
        <v>0.69375</v>
      </c>
      <c r="BW9" s="1" t="str">
        <f aca="false">"[""" &amp; BT9 &amp; """, """ &amp; IF(BU9="","",TEXT(BU9,"h:mm")) &amp; """, """ &amp; IF(BV9="","",TEXT(BV9,"h:mm")) &amp; """],"</f>
        <v>["西郷", "16:33", "16:39"],</v>
      </c>
      <c r="BX9" s="18" t="n">
        <f aca="false">IF(AND(LEN(BU9)&lt;&gt;0,LEN(BV9)&lt;&gt;0),((HOUR(BV9)*60)+MINUTE(BV9))-((HOUR(BU9)*60)+MINUTE(BU9)),"")</f>
        <v>6</v>
      </c>
      <c r="BZ9" s="19" t="s">
        <v>30</v>
      </c>
      <c r="CA9" s="19" t="n">
        <v>0.4875</v>
      </c>
      <c r="CB9" s="19" t="n">
        <v>0.666666666666667</v>
      </c>
      <c r="CC9" s="1" t="str">
        <f aca="false">"[""" &amp; BZ9 &amp; """, """ &amp; IF(CA9="","",TEXT(CA9,"h:mm")) &amp; """, """ &amp; IF(CB9="","",TEXT(CB9,"h:mm")) &amp; """],"</f>
        <v>["菱浦", "11:42", "16:00"],</v>
      </c>
      <c r="CD9" s="18" t="n">
        <f aca="false">IF(AND(LEN(CA9)&lt;&gt;0,LEN(CB9)&lt;&gt;0),((HOUR(CB9)*60)+MINUTE(CB9))-((HOUR(CA9)*60)+MINUTE(CA9)),"")</f>
        <v>258</v>
      </c>
      <c r="CE9" s="19" t="s">
        <v>30</v>
      </c>
      <c r="CF9" s="19" t="n">
        <v>0.744444444444445</v>
      </c>
      <c r="CH9" s="1" t="str">
        <f aca="false">"[""" &amp; CE9 &amp; """, """ &amp; IF(CF9="","",TEXT(CF9,"h:mm")) &amp; """, """ &amp; IF(CG9="","",TEXT(CG9,"h:mm")) &amp; """]"</f>
        <v>["菱浦", "17:52", ""]</v>
      </c>
      <c r="CI9" s="18" t="str">
        <f aca="false">IF(AND(LEN(CF9)&lt;&gt;0,LEN(CG9)&lt;&gt;0),((HOUR(CG9)*60)+MINUTE(CG9))-((HOUR(CF9)*60)+MINUTE(CF9)),"")</f>
        <v/>
      </c>
      <c r="CJ9" s="19" t="s">
        <v>30</v>
      </c>
      <c r="CK9" s="19" t="n">
        <v>0.369444444444444</v>
      </c>
      <c r="CL9" s="19" t="n">
        <v>0.375</v>
      </c>
      <c r="CM9" s="1" t="str">
        <f aca="false">"[""" &amp; CJ9 &amp; """, """ &amp; IF(CK9="","",TEXT(CK9,"h:mm")) &amp; """, """ &amp; IF(CL9="","",TEXT(CL9,"h:mm")) &amp; """],"</f>
        <v>["菱浦", "8:52", "9:00"],</v>
      </c>
      <c r="CN9" s="18" t="n">
        <f aca="false">IF(AND(LEN(CK9)&lt;&gt;0,LEN(CL9)&lt;&gt;0),((HOUR(CL9)*60)+MINUTE(CL9))-((HOUR(CK9)*60)+MINUTE(CK9)),"")</f>
        <v>8</v>
      </c>
      <c r="CO9" s="19" t="s">
        <v>30</v>
      </c>
      <c r="CP9" s="19" t="n">
        <v>0.369444444444444</v>
      </c>
      <c r="CQ9" s="19" t="n">
        <v>0.375</v>
      </c>
      <c r="CR9" s="1" t="str">
        <f aca="false">"[""" &amp; CO9 &amp; """, """ &amp; IF(CP9="","",TEXT(CP9,"h:mm")) &amp; """, """ &amp; IF(CQ9="","",TEXT(CQ9,"h:mm")) &amp; """],"</f>
        <v>["菱浦", "8:52", "9:00"],</v>
      </c>
      <c r="CS9" s="18" t="n">
        <f aca="false">IF(AND(LEN(CP9)&lt;&gt;0,LEN(CQ9)&lt;&gt;0),((HOUR(CQ9)*60)+MINUTE(CQ9))-((HOUR(CP9)*60)+MINUTE(CP9)),"")</f>
        <v>8</v>
      </c>
      <c r="CU9" s="19" t="s">
        <v>30</v>
      </c>
      <c r="CV9" s="19" t="n">
        <v>0.375694444444445</v>
      </c>
      <c r="CW9" s="19" t="n">
        <v>0.377083333333333</v>
      </c>
      <c r="CX9" s="1" t="str">
        <f aca="false">"[""" &amp; CU9 &amp; """, """ &amp; IF(CV9="","",TEXT(CV9,"h:mm")) &amp; """, """ &amp; IF(CW9="","",TEXT(CW9,"h:mm")) &amp; """],"</f>
        <v>["菱浦", "9:01", "9:03"],</v>
      </c>
      <c r="CY9" s="18" t="n">
        <f aca="false">IF(AND(LEN(CV9)&lt;&gt;0,LEN(CW9)&lt;&gt;0),((HOUR(CW9)*60)+MINUTE(CW9))-((HOUR(CV9)*60)+MINUTE(CV9)),"")</f>
        <v>2</v>
      </c>
      <c r="CZ9" s="20" t="s">
        <v>29</v>
      </c>
      <c r="DA9" s="20" t="n">
        <v>0.348611111111111</v>
      </c>
      <c r="DB9" s="20" t="n">
        <v>0.350694444444444</v>
      </c>
      <c r="DC9" s="1" t="str">
        <f aca="false">"[""" &amp; CZ9 &amp; """, """ &amp; IF(DA9="","",TEXT(DA9,"h:mm")) &amp; """, """ &amp; IF(DB9="","",TEXT(DB9,"h:mm")) &amp; """],"</f>
        <v>["別府", "8:22", "8:25"],</v>
      </c>
      <c r="DD9" s="18" t="n">
        <f aca="false">IF(AND(LEN(DA9)&lt;&gt;0,LEN(DB9)&lt;&gt;0),((HOUR(DB9)*60)+MINUTE(DB9))-((HOUR(DA9)*60)+MINUTE(DA9)),"")</f>
        <v>3</v>
      </c>
      <c r="DE9" s="20" t="s">
        <v>29</v>
      </c>
      <c r="DF9" s="20" t="n">
        <v>0.348611111111111</v>
      </c>
      <c r="DG9" s="20" t="n">
        <v>0.350694444444444</v>
      </c>
      <c r="DH9" s="1" t="str">
        <f aca="false">"[""" &amp; DE9 &amp; """, """ &amp; IF(DF9="","",TEXT(DF9,"h:mm")) &amp; """, """ &amp; IF(DG9="","",TEXT(DG9,"h:mm")) &amp; """],"</f>
        <v>["別府", "8:22", "8:25"],</v>
      </c>
      <c r="DI9" s="18" t="n">
        <f aca="false">IF(AND(LEN(DF9)&lt;&gt;0,LEN(DG9)&lt;&gt;0),((HOUR(DG9)*60)+MINUTE(DG9))-((HOUR(DF9)*60)+MINUTE(DF9)),"")</f>
        <v>3</v>
      </c>
      <c r="DJ9" s="20" t="s">
        <v>29</v>
      </c>
      <c r="DK9" s="20" t="n">
        <v>0.348611111111111</v>
      </c>
      <c r="DL9" s="20" t="n">
        <v>0.350694444444444</v>
      </c>
      <c r="DM9" s="1" t="str">
        <f aca="false">"[""" &amp; DJ9 &amp; """, """ &amp; IF(DK9="","",TEXT(DK9,"h:mm")) &amp; """, """ &amp; IF(DL9="","",TEXT(DL9,"h:mm")) &amp; """],"</f>
        <v>["別府", "8:22", "8:25"],</v>
      </c>
      <c r="DN9" s="18" t="n">
        <f aca="false">IF(AND(LEN(DK9)&lt;&gt;0,LEN(DL9)&lt;&gt;0),((HOUR(DL9)*60)+MINUTE(DL9))-((HOUR(DK9)*60)+MINUTE(DK9)),"")</f>
        <v>3</v>
      </c>
      <c r="DO9" s="20" t="s">
        <v>29</v>
      </c>
      <c r="DP9" s="20" t="n">
        <v>0.348611111111111</v>
      </c>
      <c r="DQ9" s="20" t="n">
        <v>0.350694444444444</v>
      </c>
      <c r="DR9" s="1" t="str">
        <f aca="false">"[""" &amp; DO9 &amp; """, """ &amp; IF(DP9="","",TEXT(DP9,"h:mm")) &amp; """, """ &amp; IF(DQ9="","",TEXT(DQ9,"h:mm")) &amp; """],"</f>
        <v>["別府", "8:22", "8:25"],</v>
      </c>
      <c r="DS9" s="18" t="n">
        <f aca="false">IF(AND(LEN(DP9)&lt;&gt;0,LEN(DQ9)&lt;&gt;0),((HOUR(DQ9)*60)+MINUTE(DQ9))-((HOUR(DP9)*60)+MINUTE(DP9)),"")</f>
        <v>3</v>
      </c>
      <c r="DT9" s="20" t="s">
        <v>29</v>
      </c>
      <c r="DU9" s="20" t="n">
        <v>0.382638888888889</v>
      </c>
      <c r="DV9" s="20" t="n">
        <v>0.5</v>
      </c>
      <c r="DW9" s="1" t="str">
        <f aca="false">"[""" &amp; DT9 &amp; """, """ &amp; IF(DU9="","",TEXT(DU9,"h:mm")) &amp; """, """ &amp; IF(DV9="","",TEXT(DV9,"h:mm")) &amp; """],"</f>
        <v>["別府", "9:11", "12:00"],</v>
      </c>
      <c r="DX9" s="18" t="n">
        <f aca="false">IF(AND(LEN(DU9)&lt;&gt;0,LEN(DV9)&lt;&gt;0),((HOUR(DV9)*60)+MINUTE(DV9))-((HOUR(DU9)*60)+MINUTE(DU9)),"")</f>
        <v>169</v>
      </c>
      <c r="DY9" s="19" t="s">
        <v>30</v>
      </c>
      <c r="DZ9" s="19" t="n">
        <v>0.391666666666667</v>
      </c>
      <c r="EA9" s="19" t="n">
        <v>0.393055555555556</v>
      </c>
      <c r="EB9" s="1" t="str">
        <f aca="false">"[""" &amp; DY9 &amp; """, """ &amp; IF(DZ9="","",TEXT(DZ9,"h:mm")) &amp; """, """ &amp; IF(EA9="","",TEXT(EA9,"h:mm")) &amp; """],"</f>
        <v>["菱浦", "9:24", "9:26"],</v>
      </c>
      <c r="EC9" s="18" t="n">
        <f aca="false">IF(AND(LEN(DZ9)&lt;&gt;0,LEN(EA9)&lt;&gt;0),((HOUR(EA9)*60)+MINUTE(EA9))-((HOUR(DZ9)*60)+MINUTE(DZ9)),"")</f>
        <v>2</v>
      </c>
      <c r="ED9" s="19" t="s">
        <v>30</v>
      </c>
      <c r="EE9" s="19" t="n">
        <v>0.391666666666667</v>
      </c>
      <c r="EF9" s="19" t="n">
        <v>0.393055555555556</v>
      </c>
      <c r="EG9" s="1" t="str">
        <f aca="false">"[""" &amp; ED9 &amp; """, """ &amp; IF(EE9="","",TEXT(EE9,"h:mm")) &amp; """, """ &amp; IF(EF9="","",TEXT(EF9,"h:mm")) &amp; """],"</f>
        <v>["菱浦", "9:24", "9:26"],</v>
      </c>
      <c r="EH9" s="18" t="n">
        <f aca="false">IF(AND(LEN(EE9)&lt;&gt;0,LEN(EF9)&lt;&gt;0),((HOUR(EF9)*60)+MINUTE(EF9))-((HOUR(EE9)*60)+MINUTE(EE9)),"")</f>
        <v>2</v>
      </c>
      <c r="EI9" s="19" t="s">
        <v>30</v>
      </c>
      <c r="EJ9" s="19" t="n">
        <v>0.391666666666667</v>
      </c>
      <c r="EK9" s="19" t="n">
        <v>0.393055555555556</v>
      </c>
      <c r="EL9" s="1" t="str">
        <f aca="false">"[""" &amp; EI9 &amp; """, """ &amp; IF(EJ9="","",TEXT(EJ9,"h:mm")) &amp; """, """ &amp; IF(EK9="","",TEXT(EK9,"h:mm")) &amp; """],"</f>
        <v>["菱浦", "9:24", "9:26"],</v>
      </c>
      <c r="EM9" s="18" t="n">
        <f aca="false">IF(AND(LEN(EJ9)&lt;&gt;0,LEN(EK9)&lt;&gt;0),((HOUR(EK9)*60)+MINUTE(EK9))-((HOUR(EJ9)*60)+MINUTE(EJ9)),"")</f>
        <v>2</v>
      </c>
      <c r="EN9" s="19" t="s">
        <v>30</v>
      </c>
      <c r="EO9" s="19" t="n">
        <v>0.391666666666667</v>
      </c>
      <c r="EP9" s="19" t="n">
        <v>0.393055555555556</v>
      </c>
      <c r="EQ9" s="1" t="str">
        <f aca="false">"[""" &amp; EN9 &amp; """, """ &amp; IF(EO9="","",TEXT(EO9,"h:mm")) &amp; """, """ &amp; IF(EP9="","",TEXT(EP9,"h:mm")) &amp; """],"</f>
        <v>["菱浦", "9:24", "9:26"],</v>
      </c>
      <c r="ER9" s="18" t="n">
        <f aca="false">IF(AND(LEN(EO9)&lt;&gt;0,LEN(EP9)&lt;&gt;0),((HOUR(EP9)*60)+MINUTE(EP9))-((HOUR(EO9)*60)+MINUTE(EO9)),"")</f>
        <v>2</v>
      </c>
    </row>
    <row r="10" customFormat="false" ht="18" hidden="false" customHeight="false" outlineLevel="0" collapsed="false">
      <c r="A10" s="16" t="s">
        <v>27</v>
      </c>
      <c r="B10" s="17" t="n">
        <v>0.753472222222222</v>
      </c>
      <c r="C10" s="16"/>
      <c r="D10" s="1" t="str">
        <f aca="false">"[""" &amp; A10 &amp; """, """ &amp; IF(B10="","",TEXT(B10,"h:mm")) &amp; """, """ &amp; IF(C10="","",TEXT(C10,"h:mm")) &amp; """]"</f>
        <v>["七類", "18:05", ""]</v>
      </c>
      <c r="E10" s="18" t="str">
        <f aca="false">IF(AND(LEN(B10)&lt;&gt;0,LEN(C10)&lt;&gt;0),((HOUR(C10)*60)+MINUTE(C10))-((HOUR(B10)*60)+MINUTE(B10)),"")</f>
        <v/>
      </c>
      <c r="F10" s="16" t="s">
        <v>31</v>
      </c>
      <c r="G10" s="17" t="n">
        <v>0.690972222222222</v>
      </c>
      <c r="H10" s="16" t="n">
        <v>0.694444444444445</v>
      </c>
      <c r="I10" s="1" t="str">
        <f aca="false">"[""" &amp; F10 &amp; """, """ &amp; IF(G10="","",TEXT(G10,"h:mm")) &amp; """, """ &amp; IF(H10="","",TEXT(H10,"h:mm")) &amp; """],"</f>
        <v>["来居", "16:35", "16:40"],</v>
      </c>
      <c r="J10" s="18" t="n">
        <f aca="false">IF(AND(LEN(G10)&lt;&gt;0,LEN(H10)&lt;&gt;0),((HOUR(H10)*60)+MINUTE(H10))-((HOUR(G10)*60)+MINUTE(G10)),"")</f>
        <v>5</v>
      </c>
      <c r="K10" s="16" t="s">
        <v>27</v>
      </c>
      <c r="L10" s="17" t="n">
        <v>0.753472222222222</v>
      </c>
      <c r="M10" s="16"/>
      <c r="N10" s="1" t="str">
        <f aca="false">"[""" &amp; K10 &amp; """, """ &amp; IF(L10="","",TEXT(L10,"h:mm")) &amp; """, """ &amp; IF(M10="","",TEXT(M10,"h:mm")) &amp; """]"</f>
        <v>["七類", "18:05", ""]</v>
      </c>
      <c r="O10" s="18" t="str">
        <f aca="false">IF(AND(LEN(L10)&lt;&gt;0,LEN(M10)&lt;&gt;0),((HOUR(M10)*60)+MINUTE(M10))-((HOUR(L10)*60)+MINUTE(L10)),"")</f>
        <v/>
      </c>
      <c r="P10" s="16" t="s">
        <v>31</v>
      </c>
      <c r="Q10" s="17" t="n">
        <v>0.690972222222222</v>
      </c>
      <c r="R10" s="16" t="n">
        <v>0.694444444444445</v>
      </c>
      <c r="S10" s="1" t="str">
        <f aca="false">"[""" &amp; P10 &amp; """, """ &amp; IF(Q10="","",TEXT(Q10,"h:mm")) &amp; """, """ &amp; IF(R10="","",TEXT(R10,"h:mm")) &amp; """],"</f>
        <v>["来居", "16:35", "16:40"],</v>
      </c>
      <c r="T10" s="18" t="n">
        <f aca="false">IF(AND(LEN(Q10)&lt;&gt;0,LEN(R10)&lt;&gt;0),((HOUR(R10)*60)+MINUTE(R10))-((HOUR(Q10)*60)+MINUTE(Q10)),"")</f>
        <v>5</v>
      </c>
      <c r="X10" s="1" t="s">
        <v>33</v>
      </c>
      <c r="Y10" s="18" t="str">
        <f aca="false">IF(AND(LEN(V10)&lt;&gt;0,LEN(W10)&lt;&gt;0),((HOUR(W10)*60)+MINUTE(W10))-((HOUR(V10)*60)+MINUTE(V10)),"")</f>
        <v/>
      </c>
      <c r="Z10" s="16" t="s">
        <v>27</v>
      </c>
      <c r="AA10" s="17" t="n">
        <v>0.732638888888889</v>
      </c>
      <c r="AB10" s="16"/>
      <c r="AC10" s="1" t="str">
        <f aca="false">"[""" &amp; Z10 &amp; """, """ &amp; IF(AA10="","",TEXT(AA10,"h:mm")) &amp; """, """ &amp; IF(AB10="","",TEXT(AB10,"h:mm")) &amp; """]"</f>
        <v>["七類", "17:35", ""]</v>
      </c>
      <c r="AD10" s="18" t="str">
        <f aca="false">IF(AND(LEN(AA10)&lt;&gt;0,LEN(AB10)&lt;&gt;0),((HOUR(AB10)*60)+MINUTE(AB10))-((HOUR(AA10)*60)+MINUTE(AA10)),"")</f>
        <v/>
      </c>
      <c r="AE10" s="16" t="s">
        <v>29</v>
      </c>
      <c r="AF10" s="17" t="n">
        <v>0.711805555555556</v>
      </c>
      <c r="AG10" s="17" t="n">
        <v>0.71875</v>
      </c>
      <c r="AH10" s="1" t="str">
        <f aca="false">"[""" &amp; AE10 &amp; """, """ &amp; IF(AF10="","",TEXT(AF10,"h:mm")) &amp; """, """ &amp; IF(AG10="","",TEXT(AG10,"h:mm")) &amp; """],"</f>
        <v>["別府", "17:05", "17:15"],</v>
      </c>
      <c r="AI10" s="18" t="n">
        <f aca="false">IF(AND(LEN(AF10)&lt;&gt;0,LEN(AG10)&lt;&gt;0),((HOUR(AG10)*60)+MINUTE(AG10))-((HOUR(AF10)*60)+MINUTE(AF10)),"")</f>
        <v>10</v>
      </c>
      <c r="AM10" s="1" t="s">
        <v>33</v>
      </c>
      <c r="AN10" s="18" t="str">
        <f aca="false">IF(AND(LEN(AK10)&lt;&gt;0,LEN(AL10)&lt;&gt;0),((HOUR(AL10)*60)+MINUTE(AL10))-((HOUR(AK10)*60)+MINUTE(AK10)),"")</f>
        <v/>
      </c>
      <c r="AO10" s="16" t="s">
        <v>30</v>
      </c>
      <c r="AP10" s="17" t="n">
        <v>0.645833333333333</v>
      </c>
      <c r="AQ10" s="16" t="n">
        <v>0.65625</v>
      </c>
      <c r="AR10" s="1" t="str">
        <f aca="false">"[""" &amp; AO10 &amp; """, """ &amp; IF(AP10="","",TEXT(AP10,"h:mm")) &amp; """, """ &amp; IF(AQ10="","",TEXT(AQ10,"h:mm")) &amp; """],"</f>
        <v>["菱浦", "15:30", "15:45"],</v>
      </c>
      <c r="AS10" s="18" t="n">
        <f aca="false">IF(AND(LEN(AP10)&lt;&gt;0,LEN(AQ10)&lt;&gt;0),((HOUR(AQ10)*60)+MINUTE(AQ10))-((HOUR(AP10)*60)+MINUTE(AP10)),"")</f>
        <v>15</v>
      </c>
      <c r="AT10" s="16" t="s">
        <v>29</v>
      </c>
      <c r="AU10" s="17" t="n">
        <v>0.711805555555556</v>
      </c>
      <c r="AV10" s="17" t="n">
        <v>0.71875</v>
      </c>
      <c r="AW10" s="1" t="str">
        <f aca="false">"[""" &amp; AT10 &amp; """, """ &amp; IF(AU10="","",TEXT(AU10,"h:mm")) &amp; """, """ &amp; IF(AV10="","",TEXT(AV10,"h:mm")) &amp; """],"</f>
        <v>["別府", "17:05", "17:15"],</v>
      </c>
      <c r="AX10" s="18" t="n">
        <f aca="false">IF(AND(LEN(AU10)&lt;&gt;0,LEN(AV10)&lt;&gt;0),((HOUR(AV10)*60)+MINUTE(AV10))-((HOUR(AU10)*60)+MINUTE(AU10)),"")</f>
        <v>10</v>
      </c>
      <c r="AZ10" s="16" t="s">
        <v>30</v>
      </c>
      <c r="BA10" s="17" t="n">
        <v>0.756944444444445</v>
      </c>
      <c r="BB10" s="16" t="n">
        <v>0.759027777777778</v>
      </c>
      <c r="BC10" s="1" t="str">
        <f aca="false">"[""" &amp; AZ10 &amp; """, """ &amp; IF(BA10="","",TEXT(BA10,"h:mm")) &amp; """, """ &amp; IF(BB10="","",TEXT(BB10,"h:mm")) &amp; """],"</f>
        <v>["菱浦", "18:10", "18:13"],</v>
      </c>
      <c r="BD10" s="18" t="n">
        <f aca="false">IF(AND(LEN(BA10)&lt;&gt;0,LEN(BB10)&lt;&gt;0),((HOUR(BB10)*60)+MINUTE(BB10))-((HOUR(BA10)*60)+MINUTE(BA10)),"")</f>
        <v>3</v>
      </c>
      <c r="BE10" s="16" t="s">
        <v>30</v>
      </c>
      <c r="BF10" s="17" t="n">
        <v>0.775</v>
      </c>
      <c r="BG10" s="16" t="n">
        <v>0.777083333333333</v>
      </c>
      <c r="BH10" s="1" t="str">
        <f aca="false">"[""" &amp; BE10 &amp; """, """ &amp; IF(BF10="","",TEXT(BF10,"h:mm")) &amp; """, """ &amp; IF(BG10="","",TEXT(BG10,"h:mm")) &amp; """],"</f>
        <v>["菱浦", "18:36", "18:39"],</v>
      </c>
      <c r="BI10" s="18" t="n">
        <f aca="false">IF(AND(LEN(BF10)&lt;&gt;0,LEN(BG10)&lt;&gt;0),((HOUR(BG10)*60)+MINUTE(BG10))-((HOUR(BF10)*60)+MINUTE(BF10)),"")</f>
        <v>3</v>
      </c>
      <c r="BJ10" s="16" t="s">
        <v>29</v>
      </c>
      <c r="BK10" s="17" t="n">
        <v>0.586805555555556</v>
      </c>
      <c r="BL10" s="17" t="n">
        <v>0.591666666666667</v>
      </c>
      <c r="BM10" s="1" t="str">
        <f aca="false">"[""" &amp; BJ10 &amp; """, """ &amp; IF(BK10="","",TEXT(BK10,"h:mm")) &amp; """, """ &amp; IF(BL10="","",TEXT(BL10,"h:mm")) &amp; """],"</f>
        <v>["別府", "14:05", "14:12"],</v>
      </c>
      <c r="BN10" s="18" t="n">
        <f aca="false">IF(AND(LEN(BK10)&lt;&gt;0,LEN(BL10)&lt;&gt;0),((HOUR(BL10)*60)+MINUTE(BL10))-((HOUR(BK10)*60)+MINUTE(BK10)),"")</f>
        <v>7</v>
      </c>
      <c r="BO10" s="16" t="s">
        <v>30</v>
      </c>
      <c r="BP10" s="17" t="n">
        <v>0.729861111111111</v>
      </c>
      <c r="BQ10" s="16" t="n">
        <v>0.731944444444444</v>
      </c>
      <c r="BR10" s="1" t="str">
        <f aca="false">"[""" &amp; BO10 &amp; """, """ &amp; IF(BP10="","",TEXT(BP10,"h:mm")) &amp; """, """ &amp; IF(BQ10="","",TEXT(BQ10,"h:mm")) &amp; """],"</f>
        <v>["菱浦", "17:31", "17:34"],</v>
      </c>
      <c r="BS10" s="18" t="n">
        <f aca="false">IF(AND(LEN(BP10)&lt;&gt;0,LEN(BQ10)&lt;&gt;0),((HOUR(BQ10)*60)+MINUTE(BQ10))-((HOUR(BP10)*60)+MINUTE(BP10)),"")</f>
        <v>3</v>
      </c>
      <c r="BT10" s="16" t="s">
        <v>30</v>
      </c>
      <c r="BU10" s="17" t="n">
        <v>0.715277777777778</v>
      </c>
      <c r="BV10" s="16" t="n">
        <v>0.717361111111111</v>
      </c>
      <c r="BW10" s="1" t="str">
        <f aca="false">"[""" &amp; BT10 &amp; """, """ &amp; IF(BU10="","",TEXT(BU10,"h:mm")) &amp; """, """ &amp; IF(BV10="","",TEXT(BV10,"h:mm")) &amp; """],"</f>
        <v>["菱浦", "17:10", "17:13"],</v>
      </c>
      <c r="BX10" s="18" t="n">
        <f aca="false">IF(AND(LEN(BU10)&lt;&gt;0,LEN(BV10)&lt;&gt;0),((HOUR(BV10)*60)+MINUTE(BV10))-((HOUR(BU10)*60)+MINUTE(BU10)),"")</f>
        <v>3</v>
      </c>
      <c r="BZ10" s="20" t="s">
        <v>29</v>
      </c>
      <c r="CA10" s="20" t="n">
        <v>0.677083333333333</v>
      </c>
      <c r="CB10" s="20" t="n">
        <v>0.680555555555556</v>
      </c>
      <c r="CC10" s="1" t="str">
        <f aca="false">"[""" &amp; BZ10 &amp; """, """ &amp; IF(CA10="","",TEXT(CA10,"h:mm")) &amp; """, """ &amp; IF(CB10="","",TEXT(CB10,"h:mm")) &amp; """],"</f>
        <v>["別府", "16:15", "16:20"],</v>
      </c>
      <c r="CD10" s="18" t="n">
        <f aca="false">IF(AND(LEN(CA10)&lt;&gt;0,LEN(CB10)&lt;&gt;0),((HOUR(CB10)*60)+MINUTE(CB10))-((HOUR(CA10)*60)+MINUTE(CA10)),"")</f>
        <v>5</v>
      </c>
      <c r="CH10" s="1" t="s">
        <v>33</v>
      </c>
      <c r="CI10" s="18" t="str">
        <f aca="false">IF(AND(LEN(CF10)&lt;&gt;0,LEN(CG10)&lt;&gt;0),((HOUR(CG10)*60)+MINUTE(CG10))-((HOUR(CF10)*60)+MINUTE(CF10)),"")</f>
        <v/>
      </c>
      <c r="CJ10" s="20" t="s">
        <v>29</v>
      </c>
      <c r="CK10" s="20" t="n">
        <v>0.385416666666667</v>
      </c>
      <c r="CL10" s="20" t="n">
        <v>0.388888888888889</v>
      </c>
      <c r="CM10" s="1" t="str">
        <f aca="false">"[""" &amp; CJ10 &amp; """, """ &amp; IF(CK10="","",TEXT(CK10,"h:mm")) &amp; """, """ &amp; IF(CL10="","",TEXT(CL10,"h:mm")) &amp; """],"</f>
        <v>["別府", "9:15", "9:20"],</v>
      </c>
      <c r="CN10" s="18" t="n">
        <f aca="false">IF(AND(LEN(CK10)&lt;&gt;0,LEN(CL10)&lt;&gt;0),((HOUR(CL10)*60)+MINUTE(CL10))-((HOUR(CK10)*60)+MINUTE(CK10)),"")</f>
        <v>5</v>
      </c>
      <c r="CO10" s="20" t="s">
        <v>29</v>
      </c>
      <c r="CP10" s="20" t="n">
        <v>0.385416666666667</v>
      </c>
      <c r="CQ10" s="20" t="n">
        <v>0.388888888888889</v>
      </c>
      <c r="CR10" s="1" t="str">
        <f aca="false">"[""" &amp; CO10 &amp; """, """ &amp; IF(CP10="","",TEXT(CP10,"h:mm")) &amp; """, """ &amp; IF(CQ10="","",TEXT(CQ10,"h:mm")) &amp; """],"</f>
        <v>["別府", "9:15", "9:20"],</v>
      </c>
      <c r="CS10" s="18" t="n">
        <f aca="false">IF(AND(LEN(CP10)&lt;&gt;0,LEN(CQ10)&lt;&gt;0),((HOUR(CQ10)*60)+MINUTE(CQ10))-((HOUR(CP10)*60)+MINUTE(CP10)),"")</f>
        <v>5</v>
      </c>
      <c r="CU10" s="20" t="s">
        <v>29</v>
      </c>
      <c r="CV10" s="20" t="n">
        <v>0.382638888888889</v>
      </c>
      <c r="CW10" s="20" t="n">
        <v>0.5</v>
      </c>
      <c r="CX10" s="1" t="str">
        <f aca="false">"[""" &amp; CU10 &amp; """, """ &amp; IF(CV10="","",TEXT(CV10,"h:mm")) &amp; """, """ &amp; IF(CW10="","",TEXT(CW10,"h:mm")) &amp; """],"</f>
        <v>["別府", "9:11", "12:00"],</v>
      </c>
      <c r="CY10" s="18" t="n">
        <f aca="false">IF(AND(LEN(CV10)&lt;&gt;0,LEN(CW10)&lt;&gt;0),((HOUR(CW10)*60)+MINUTE(CW10))-((HOUR(CV10)*60)+MINUTE(CV10)),"")</f>
        <v>169</v>
      </c>
      <c r="CZ10" s="19" t="s">
        <v>30</v>
      </c>
      <c r="DA10" s="19" t="n">
        <v>0.355555555555556</v>
      </c>
      <c r="DB10" s="19" t="n">
        <v>0.356944444444444</v>
      </c>
      <c r="DC10" s="1" t="str">
        <f aca="false">"[""" &amp; CZ10 &amp; """, """ &amp; IF(DA10="","",TEXT(DA10,"h:mm")) &amp; """, """ &amp; IF(DB10="","",TEXT(DB10,"h:mm")) &amp; """],"</f>
        <v>["菱浦", "8:32", "8:34"],</v>
      </c>
      <c r="DD10" s="18" t="n">
        <f aca="false">IF(AND(LEN(DA10)&lt;&gt;0,LEN(DB10)&lt;&gt;0),((HOUR(DB10)*60)+MINUTE(DB10))-((HOUR(DA10)*60)+MINUTE(DA10)),"")</f>
        <v>2</v>
      </c>
      <c r="DE10" s="19" t="s">
        <v>30</v>
      </c>
      <c r="DF10" s="19" t="n">
        <v>0.355555555555556</v>
      </c>
      <c r="DG10" s="19" t="n">
        <v>0.356944444444444</v>
      </c>
      <c r="DH10" s="1" t="str">
        <f aca="false">"[""" &amp; DE10 &amp; """, """ &amp; IF(DF10="","",TEXT(DF10,"h:mm")) &amp; """, """ &amp; IF(DG10="","",TEXT(DG10,"h:mm")) &amp; """],"</f>
        <v>["菱浦", "8:32", "8:34"],</v>
      </c>
      <c r="DI10" s="18" t="n">
        <f aca="false">IF(AND(LEN(DF10)&lt;&gt;0,LEN(DG10)&lt;&gt;0),((HOUR(DG10)*60)+MINUTE(DG10))-((HOUR(DF10)*60)+MINUTE(DF10)),"")</f>
        <v>2</v>
      </c>
      <c r="DJ10" s="19" t="s">
        <v>30</v>
      </c>
      <c r="DK10" s="19" t="n">
        <v>0.355555555555556</v>
      </c>
      <c r="DL10" s="19" t="n">
        <v>0.356944444444444</v>
      </c>
      <c r="DM10" s="1" t="str">
        <f aca="false">"[""" &amp; DJ10 &amp; """, """ &amp; IF(DK10="","",TEXT(DK10,"h:mm")) &amp; """, """ &amp; IF(DL10="","",TEXT(DL10,"h:mm")) &amp; """],"</f>
        <v>["菱浦", "8:32", "8:34"],</v>
      </c>
      <c r="DN10" s="18" t="n">
        <f aca="false">IF(AND(LEN(DK10)&lt;&gt;0,LEN(DL10)&lt;&gt;0),((HOUR(DL10)*60)+MINUTE(DL10))-((HOUR(DK10)*60)+MINUTE(DK10)),"")</f>
        <v>2</v>
      </c>
      <c r="DO10" s="19" t="s">
        <v>30</v>
      </c>
      <c r="DP10" s="19" t="n">
        <v>0.355555555555556</v>
      </c>
      <c r="DQ10" s="19" t="n">
        <v>0.356944444444444</v>
      </c>
      <c r="DR10" s="1" t="str">
        <f aca="false">"[""" &amp; DO10 &amp; """, """ &amp; IF(DP10="","",TEXT(DP10,"h:mm")) &amp; """, """ &amp; IF(DQ10="","",TEXT(DQ10,"h:mm")) &amp; """],"</f>
        <v>["菱浦", "8:32", "8:34"],</v>
      </c>
      <c r="DS10" s="18" t="n">
        <f aca="false">IF(AND(LEN(DP10)&lt;&gt;0,LEN(DQ10)&lt;&gt;0),((HOUR(DQ10)*60)+MINUTE(DQ10))-((HOUR(DP10)*60)+MINUTE(DP10)),"")</f>
        <v>2</v>
      </c>
      <c r="DT10" s="19" t="s">
        <v>30</v>
      </c>
      <c r="DU10" s="19" t="n">
        <v>0.505555555555556</v>
      </c>
      <c r="DV10" s="19" t="n">
        <v>0.539583333333333</v>
      </c>
      <c r="DW10" s="1" t="str">
        <f aca="false">"[""" &amp; DT10 &amp; """, """ &amp; IF(DU10="","",TEXT(DU10,"h:mm")) &amp; """, """ &amp; IF(DV10="","",TEXT(DV10,"h:mm")) &amp; """],"</f>
        <v>["菱浦", "12:08", "12:57"],</v>
      </c>
      <c r="DX10" s="18" t="n">
        <f aca="false">IF(AND(LEN(DU10)&lt;&gt;0,LEN(DV10)&lt;&gt;0),((HOUR(DV10)*60)+MINUTE(DV10))-((HOUR(DU10)*60)+MINUTE(DU10)),"")</f>
        <v>49</v>
      </c>
      <c r="DY10" s="20" t="s">
        <v>29</v>
      </c>
      <c r="DZ10" s="20" t="n">
        <v>0.397916666666667</v>
      </c>
      <c r="EA10" s="20" t="n">
        <v>0.418055555555556</v>
      </c>
      <c r="EB10" s="1" t="str">
        <f aca="false">"[""" &amp; DY10 &amp; """, """ &amp; IF(DZ10="","",TEXT(DZ10,"h:mm")) &amp; """, """ &amp; IF(EA10="","",TEXT(EA10,"h:mm")) &amp; """],"</f>
        <v>["別府", "9:33", "10:02"],</v>
      </c>
      <c r="EC10" s="18" t="n">
        <f aca="false">IF(AND(LEN(DZ10)&lt;&gt;0,LEN(EA10)&lt;&gt;0),((HOUR(EA10)*60)+MINUTE(EA10))-((HOUR(DZ10)*60)+MINUTE(DZ10)),"")</f>
        <v>29</v>
      </c>
      <c r="ED10" s="20" t="s">
        <v>29</v>
      </c>
      <c r="EE10" s="20" t="n">
        <v>0.397916666666667</v>
      </c>
      <c r="EF10" s="20" t="n">
        <v>0.418055555555556</v>
      </c>
      <c r="EG10" s="1" t="str">
        <f aca="false">"[""" &amp; ED10 &amp; """, """ &amp; IF(EE10="","",TEXT(EE10,"h:mm")) &amp; """, """ &amp; IF(EF10="","",TEXT(EF10,"h:mm")) &amp; """],"</f>
        <v>["別府", "9:33", "10:02"],</v>
      </c>
      <c r="EH10" s="18" t="n">
        <f aca="false">IF(AND(LEN(EE10)&lt;&gt;0,LEN(EF10)&lt;&gt;0),((HOUR(EF10)*60)+MINUTE(EF10))-((HOUR(EE10)*60)+MINUTE(EE10)),"")</f>
        <v>29</v>
      </c>
      <c r="EI10" s="20" t="s">
        <v>29</v>
      </c>
      <c r="EJ10" s="20" t="n">
        <v>0.397916666666667</v>
      </c>
      <c r="EK10" s="20" t="n">
        <v>0.418055555555556</v>
      </c>
      <c r="EL10" s="1" t="str">
        <f aca="false">"[""" &amp; EI10 &amp; """, """ &amp; IF(EJ10="","",TEXT(EJ10,"h:mm")) &amp; """, """ &amp; IF(EK10="","",TEXT(EK10,"h:mm")) &amp; """],"</f>
        <v>["別府", "9:33", "10:02"],</v>
      </c>
      <c r="EM10" s="18" t="n">
        <f aca="false">IF(AND(LEN(EJ10)&lt;&gt;0,LEN(EK10)&lt;&gt;0),((HOUR(EK10)*60)+MINUTE(EK10))-((HOUR(EJ10)*60)+MINUTE(EJ10)),"")</f>
        <v>29</v>
      </c>
      <c r="EN10" s="20" t="s">
        <v>29</v>
      </c>
      <c r="EO10" s="20" t="n">
        <v>0.397916666666667</v>
      </c>
      <c r="EP10" s="20" t="n">
        <v>0.418055555555556</v>
      </c>
      <c r="EQ10" s="1" t="str">
        <f aca="false">"[""" &amp; EN10 &amp; """, """ &amp; IF(EO10="","",TEXT(EO10,"h:mm")) &amp; """, """ &amp; IF(EP10="","",TEXT(EP10,"h:mm")) &amp; """],"</f>
        <v>["別府", "9:33", "10:02"],</v>
      </c>
      <c r="ER10" s="18" t="n">
        <f aca="false">IF(AND(LEN(EO10)&lt;&gt;0,LEN(EP10)&lt;&gt;0),((HOUR(EP10)*60)+MINUTE(EP10))-((HOUR(EO10)*60)+MINUTE(EO10)),"")</f>
        <v>29</v>
      </c>
    </row>
    <row r="11" customFormat="false" ht="18" hidden="false" customHeight="false" outlineLevel="0" collapsed="false">
      <c r="D11" s="1" t="s">
        <v>33</v>
      </c>
      <c r="E11" s="18" t="str">
        <f aca="false">IF(AND(LEN(B11)&lt;&gt;0,LEN(C11)&lt;&gt;0),((HOUR(C11)*60)+MINUTE(C11))-((HOUR(B11)*60)+MINUTE(B11)),"")</f>
        <v/>
      </c>
      <c r="F11" s="23" t="s">
        <v>29</v>
      </c>
      <c r="G11" s="24" t="n">
        <v>0.715277777777778</v>
      </c>
      <c r="H11" s="25" t="n">
        <v>0.722222222222222</v>
      </c>
      <c r="I11" s="1" t="str">
        <f aca="false">"[""" &amp; F11 &amp; """, """ &amp; IF(G11="","",TEXT(G11,"h:mm")) &amp; """, """ &amp; IF(H11="","",TEXT(H11,"h:mm")) &amp; """],"</f>
        <v>["別府", "17:10", "17:20"],</v>
      </c>
      <c r="J11" s="18" t="n">
        <f aca="false">IF(AND(LEN(G11)&lt;&gt;0,LEN(H11)&lt;&gt;0),((HOUR(H11)*60)+MINUTE(H11))-((HOUR(G11)*60)+MINUTE(G11)),"")</f>
        <v>10</v>
      </c>
      <c r="N11" s="1" t="s">
        <v>33</v>
      </c>
      <c r="O11" s="18" t="str">
        <f aca="false">IF(AND(LEN(L11)&lt;&gt;0,LEN(M11)&lt;&gt;0),((HOUR(M11)*60)+MINUTE(M11))-((HOUR(L11)*60)+MINUTE(L11)),"")</f>
        <v/>
      </c>
      <c r="P11" s="23" t="s">
        <v>29</v>
      </c>
      <c r="Q11" s="24" t="n">
        <v>0.715277777777778</v>
      </c>
      <c r="R11" s="25" t="n">
        <v>0.722222222222222</v>
      </c>
      <c r="S11" s="1" t="str">
        <f aca="false">"[""" &amp; P11 &amp; """, """ &amp; IF(Q11="","",TEXT(Q11,"h:mm")) &amp; """, """ &amp; IF(R11="","",TEXT(R11,"h:mm")) &amp; """],"</f>
        <v>["別府", "17:10", "17:20"],</v>
      </c>
      <c r="T11" s="18" t="n">
        <f aca="false">IF(AND(LEN(Q11)&lt;&gt;0,LEN(R11)&lt;&gt;0),((HOUR(R11)*60)+MINUTE(R11))-((HOUR(Q11)*60)+MINUTE(Q11)),"")</f>
        <v>10</v>
      </c>
      <c r="Y11" s="18"/>
      <c r="AC11" s="1" t="s">
        <v>33</v>
      </c>
      <c r="AD11" s="18" t="str">
        <f aca="false">IF(AND(LEN(AA11)&lt;&gt;0,LEN(AB11)&lt;&gt;0),((HOUR(AB11)*60)+MINUTE(AB11))-((HOUR(AA11)*60)+MINUTE(AA11)),"")</f>
        <v/>
      </c>
      <c r="AE11" s="16" t="s">
        <v>28</v>
      </c>
      <c r="AF11" s="17" t="n">
        <v>0.770833333333333</v>
      </c>
      <c r="AG11" s="16"/>
      <c r="AH11" s="1" t="str">
        <f aca="false">"[""" &amp; AE11 &amp; """, """ &amp; IF(AF11="","",TEXT(AF11,"h:mm")) &amp; """, """ &amp; IF(AG11="","",TEXT(AG11,"h:mm")) &amp; """]"</f>
        <v>["西郷", "18:30", ""]</v>
      </c>
      <c r="AI11" s="18" t="str">
        <f aca="false">IF(AND(LEN(AF11)&lt;&gt;0,LEN(AG11)&lt;&gt;0),((HOUR(AG11)*60)+MINUTE(AG11))-((HOUR(AF11)*60)+MINUTE(AF11)),"")</f>
        <v/>
      </c>
      <c r="AN11" s="18"/>
      <c r="AO11" s="16" t="s">
        <v>29</v>
      </c>
      <c r="AP11" s="16" t="n">
        <v>0.666666666666667</v>
      </c>
      <c r="AQ11" s="17" t="n">
        <v>0.677083333333333</v>
      </c>
      <c r="AR11" s="1" t="str">
        <f aca="false">"[""" &amp; AO11 &amp; """, """ &amp; IF(AP11="","",TEXT(AP11,"h:mm")) &amp; """, """ &amp; IF(AQ11="","",TEXT(AQ11,"h:mm")) &amp; """],"</f>
        <v>["別府", "16:00", "16:15"],</v>
      </c>
      <c r="AS11" s="18" t="n">
        <f aca="false">IF(AND(LEN(AP11)&lt;&gt;0,LEN(AQ11)&lt;&gt;0),((HOUR(AQ11)*60)+MINUTE(AQ11))-((HOUR(AP11)*60)+MINUTE(AP11)),"")</f>
        <v>15</v>
      </c>
      <c r="AT11" s="16" t="s">
        <v>28</v>
      </c>
      <c r="AU11" s="17" t="n">
        <v>0.770833333333333</v>
      </c>
      <c r="AV11" s="16"/>
      <c r="AW11" s="1" t="str">
        <f aca="false">"[""" &amp; AT11 &amp; """, """ &amp; IF(AU11="","",TEXT(AU11,"h:mm")) &amp; """, """ &amp; IF(AV11="","",TEXT(AV11,"h:mm")) &amp; """]"</f>
        <v>["西郷", "18:30", ""]</v>
      </c>
      <c r="AX11" s="18" t="str">
        <f aca="false">IF(AND(LEN(AU11)&lt;&gt;0,LEN(AV11)&lt;&gt;0),((HOUR(AV11)*60)+MINUTE(AV11))-((HOUR(AU11)*60)+MINUTE(AU11)),"")</f>
        <v/>
      </c>
      <c r="AZ11" s="16" t="s">
        <v>29</v>
      </c>
      <c r="BA11" s="16" t="n">
        <v>0.765972222222222</v>
      </c>
      <c r="BB11" s="16"/>
      <c r="BC11" s="1" t="str">
        <f aca="false">"[""" &amp; AZ11 &amp; """, """ &amp; IF(BA11="","",TEXT(BA11,"h:mm")) &amp; """, """ &amp; IF(BB11="","",TEXT(BB11,"h:mm")) &amp; """]"</f>
        <v>["別府", "18:23", ""]</v>
      </c>
      <c r="BD11" s="18" t="str">
        <f aca="false">IF(AND(LEN(BA11)&lt;&gt;0,LEN(BB11)&lt;&gt;0),((HOUR(BB11)*60)+MINUTE(BB11))-((HOUR(BA11)*60)+MINUTE(BA11)),"")</f>
        <v/>
      </c>
      <c r="BE11" s="16" t="s">
        <v>29</v>
      </c>
      <c r="BF11" s="16" t="n">
        <v>0.784027777777778</v>
      </c>
      <c r="BG11" s="16"/>
      <c r="BH11" s="1" t="str">
        <f aca="false">"[""" &amp; BE11 &amp; """, """ &amp; IF(BF11="","",TEXT(BF11,"h:mm")) &amp; """, """ &amp; IF(BG11="","",TEXT(BG11,"h:mm")) &amp; """]"</f>
        <v>["別府", "18:49", ""]</v>
      </c>
      <c r="BI11" s="18" t="str">
        <f aca="false">IF(AND(LEN(BF11)&lt;&gt;0,LEN(BG11)&lt;&gt;0),((HOUR(BG11)*60)+MINUTE(BG11))-((HOUR(BF11)*60)+MINUTE(BF11)),"")</f>
        <v/>
      </c>
      <c r="BJ11" s="16" t="s">
        <v>27</v>
      </c>
      <c r="BK11" s="17" t="n">
        <v>0.633333333333333</v>
      </c>
      <c r="BL11" s="17" t="n">
        <v>0.701388888888889</v>
      </c>
      <c r="BM11" s="1" t="str">
        <f aca="false">"[""" &amp; BJ11 &amp; """, """ &amp; IF(BK11="","",TEXT(BK11,"h:mm")) &amp; """, """ &amp; IF(BL11="","",TEXT(BL11,"h:mm")) &amp; """],"</f>
        <v>["七類", "15:12", "16:50"],</v>
      </c>
      <c r="BN11" s="18" t="n">
        <f aca="false">IF(AND(LEN(BK11)&lt;&gt;0,LEN(BL11)&lt;&gt;0),((HOUR(BL11)*60)+MINUTE(BL11))-((HOUR(BK11)*60)+MINUTE(BK11)),"")</f>
        <v>98</v>
      </c>
      <c r="BO11" s="16" t="s">
        <v>29</v>
      </c>
      <c r="BP11" s="16" t="n">
        <v>0.738888888888889</v>
      </c>
      <c r="BQ11" s="16"/>
      <c r="BR11" s="1" t="str">
        <f aca="false">"[""" &amp; BO11 &amp; """, """ &amp; IF(BP11="","",TEXT(BP11,"h:mm")) &amp; """, """ &amp; IF(BQ11="","",TEXT(BQ11,"h:mm")) &amp; """]"</f>
        <v>["別府", "17:44", ""]</v>
      </c>
      <c r="BS11" s="18" t="str">
        <f aca="false">IF(AND(LEN(BP11)&lt;&gt;0,LEN(BQ11)&lt;&gt;0),((HOUR(BQ11)*60)+MINUTE(BQ11))-((HOUR(BP11)*60)+MINUTE(BP11)),"")</f>
        <v/>
      </c>
      <c r="BT11" s="16" t="s">
        <v>29</v>
      </c>
      <c r="BU11" s="16" t="n">
        <v>0.724305555555556</v>
      </c>
      <c r="BV11" s="16"/>
      <c r="BW11" s="1" t="str">
        <f aca="false">"[""" &amp; BT11 &amp; """, """ &amp; IF(BU11="","",TEXT(BU11,"h:mm")) &amp; """, """ &amp; IF(BV11="","",TEXT(BV11,"h:mm")) &amp; """]"</f>
        <v>["別府", "17:23", ""]</v>
      </c>
      <c r="BX11" s="18" t="str">
        <f aca="false">IF(AND(LEN(BU11)&lt;&gt;0,LEN(BV11)&lt;&gt;0),((HOUR(BV11)*60)+MINUTE(BV11))-((HOUR(BU11)*60)+MINUTE(BU11)),"")</f>
        <v/>
      </c>
      <c r="BZ11" s="19" t="s">
        <v>30</v>
      </c>
      <c r="CA11" s="19" t="n">
        <v>0.688888888888889</v>
      </c>
      <c r="CB11" s="19" t="n">
        <v>0.722222222222222</v>
      </c>
      <c r="CC11" s="1" t="str">
        <f aca="false">"[""" &amp; BZ11 &amp; """, """ &amp; IF(CA11="","",TEXT(CA11,"h:mm")) &amp; """, """ &amp; IF(CB11="","",TEXT(CB11,"h:mm")) &amp; """],"</f>
        <v>["菱浦", "16:32", "17:20"],</v>
      </c>
      <c r="CD11" s="18" t="n">
        <f aca="false">IF(AND(LEN(CA11)&lt;&gt;0,LEN(CB11)&lt;&gt;0),((HOUR(CB11)*60)+MINUTE(CB11))-((HOUR(CA11)*60)+MINUTE(CA11)),"")</f>
        <v>48</v>
      </c>
      <c r="CI11" s="18" t="str">
        <f aca="false">IF(AND(LEN(CF11)&lt;&gt;0,LEN(CG11)&lt;&gt;0),((HOUR(CG11)*60)+MINUTE(CG11))-((HOUR(CF11)*60)+MINUTE(CF11)),"")</f>
        <v/>
      </c>
      <c r="CJ11" s="21" t="s">
        <v>31</v>
      </c>
      <c r="CK11" s="22" t="n">
        <v>0.410416666666667</v>
      </c>
      <c r="CL11" s="22" t="n">
        <v>0.414583333333333</v>
      </c>
      <c r="CM11" s="1" t="str">
        <f aca="false">"[""" &amp; CJ11 &amp; """, """ &amp; IF(CK11="","",TEXT(CK11,"h:mm")) &amp; """, """ &amp; IF(CL11="","",TEXT(CL11,"h:mm")) &amp; """],"</f>
        <v>["来居", "9:51", "9:57"],</v>
      </c>
      <c r="CN11" s="18" t="n">
        <f aca="false">IF(AND(LEN(CK11)&lt;&gt;0,LEN(CL11)&lt;&gt;0),((HOUR(CL11)*60)+MINUTE(CL11))-((HOUR(CK11)*60)+MINUTE(CK11)),"")</f>
        <v>6</v>
      </c>
      <c r="CO11" s="21" t="s">
        <v>31</v>
      </c>
      <c r="CP11" s="22" t="n">
        <v>0.410416666666667</v>
      </c>
      <c r="CQ11" s="22" t="n">
        <v>0.414583333333333</v>
      </c>
      <c r="CR11" s="1" t="str">
        <f aca="false">"[""" &amp; CO11 &amp; """, """ &amp; IF(CP11="","",TEXT(CP11,"h:mm")) &amp; """, """ &amp; IF(CQ11="","",TEXT(CQ11,"h:mm")) &amp; """],"</f>
        <v>["来居", "9:51", "9:57"],</v>
      </c>
      <c r="CS11" s="18" t="n">
        <f aca="false">IF(AND(LEN(CP11)&lt;&gt;0,LEN(CQ11)&lt;&gt;0),((HOUR(CQ11)*60)+MINUTE(CQ11))-((HOUR(CP11)*60)+MINUTE(CP11)),"")</f>
        <v>6</v>
      </c>
      <c r="CU11" s="19" t="s">
        <v>30</v>
      </c>
      <c r="CV11" s="19" t="n">
        <v>0.505555555555556</v>
      </c>
      <c r="CW11" s="19" t="n">
        <v>0.506944444444444</v>
      </c>
      <c r="CX11" s="1" t="str">
        <f aca="false">"[""" &amp; CU11 &amp; """, """ &amp; IF(CV11="","",TEXT(CV11,"h:mm")) &amp; """, """ &amp; IF(CW11="","",TEXT(CW11,"h:mm")) &amp; """],"</f>
        <v>["菱浦", "12:08", "12:10"],</v>
      </c>
      <c r="CY11" s="18" t="n">
        <f aca="false">IF(AND(LEN(CV11)&lt;&gt;0,LEN(CW11)&lt;&gt;0),((HOUR(CW11)*60)+MINUTE(CW11))-((HOUR(CV11)*60)+MINUTE(CV11)),"")</f>
        <v>2</v>
      </c>
      <c r="CZ11" s="21" t="s">
        <v>31</v>
      </c>
      <c r="DA11" s="22" t="n">
        <v>0.369444444444444</v>
      </c>
      <c r="DB11" s="22" t="n">
        <v>0.373611111111111</v>
      </c>
      <c r="DC11" s="1" t="str">
        <f aca="false">"[""" &amp; CZ11 &amp; """, """ &amp; IF(DA11="","",TEXT(DA11,"h:mm")) &amp; """, """ &amp; IF(DB11="","",TEXT(DB11,"h:mm")) &amp; """],"</f>
        <v>["来居", "8:52", "8:58"],</v>
      </c>
      <c r="DD11" s="18" t="n">
        <f aca="false">IF(AND(LEN(DA11)&lt;&gt;0,LEN(DB11)&lt;&gt;0),((HOUR(DB11)*60)+MINUTE(DB11))-((HOUR(DA11)*60)+MINUTE(DA11)),"")</f>
        <v>6</v>
      </c>
      <c r="DE11" s="21" t="s">
        <v>31</v>
      </c>
      <c r="DF11" s="22" t="n">
        <v>0.369444444444444</v>
      </c>
      <c r="DG11" s="22" t="n">
        <v>0.373611111111111</v>
      </c>
      <c r="DH11" s="1" t="str">
        <f aca="false">"[""" &amp; DE11 &amp; """, """ &amp; IF(DF11="","",TEXT(DF11,"h:mm")) &amp; """, """ &amp; IF(DG11="","",TEXT(DG11,"h:mm")) &amp; """],"</f>
        <v>["来居", "8:52", "8:58"],</v>
      </c>
      <c r="DI11" s="18" t="n">
        <f aca="false">IF(AND(LEN(DF11)&lt;&gt;0,LEN(DG11)&lt;&gt;0),((HOUR(DG11)*60)+MINUTE(DG11))-((HOUR(DF11)*60)+MINUTE(DF11)),"")</f>
        <v>6</v>
      </c>
      <c r="DJ11" s="21" t="s">
        <v>31</v>
      </c>
      <c r="DK11" s="22" t="n">
        <v>0.369444444444444</v>
      </c>
      <c r="DL11" s="22" t="n">
        <v>0.373611111111111</v>
      </c>
      <c r="DM11" s="1" t="str">
        <f aca="false">"[""" &amp; DJ11 &amp; """, """ &amp; IF(DK11="","",TEXT(DK11,"h:mm")) &amp; """, """ &amp; IF(DL11="","",TEXT(DL11,"h:mm")) &amp; """],"</f>
        <v>["来居", "8:52", "8:58"],</v>
      </c>
      <c r="DN11" s="18" t="n">
        <f aca="false">IF(AND(LEN(DK11)&lt;&gt;0,LEN(DL11)&lt;&gt;0),((HOUR(DL11)*60)+MINUTE(DL11))-((HOUR(DK11)*60)+MINUTE(DK11)),"")</f>
        <v>6</v>
      </c>
      <c r="DO11" s="21" t="s">
        <v>31</v>
      </c>
      <c r="DP11" s="22" t="n">
        <v>0.369444444444444</v>
      </c>
      <c r="DQ11" s="22" t="n">
        <v>0.373611111111111</v>
      </c>
      <c r="DR11" s="1" t="str">
        <f aca="false">"[""" &amp; DO11 &amp; """, """ &amp; IF(DP11="","",TEXT(DP11,"h:mm")) &amp; """, """ &amp; IF(DQ11="","",TEXT(DQ11,"h:mm")) &amp; """],"</f>
        <v>["来居", "8:52", "8:58"],</v>
      </c>
      <c r="DS11" s="18" t="n">
        <f aca="false">IF(AND(LEN(DP11)&lt;&gt;0,LEN(DQ11)&lt;&gt;0),((HOUR(DQ11)*60)+MINUTE(DQ11))-((HOUR(DP11)*60)+MINUTE(DP11)),"")</f>
        <v>6</v>
      </c>
      <c r="DT11" s="20" t="s">
        <v>29</v>
      </c>
      <c r="DU11" s="20" t="n">
        <v>0.545138888888889</v>
      </c>
      <c r="DV11" s="20" t="n">
        <v>0.552083333333333</v>
      </c>
      <c r="DW11" s="1" t="str">
        <f aca="false">"[""" &amp; DT11 &amp; """, """ &amp; IF(DU11="","",TEXT(DU11,"h:mm")) &amp; """, """ &amp; IF(DV11="","",TEXT(DV11,"h:mm")) &amp; """],"</f>
        <v>["別府", "13:05", "13:15"],</v>
      </c>
      <c r="DX11" s="18" t="n">
        <f aca="false">IF(AND(LEN(DU11)&lt;&gt;0,LEN(DV11)&lt;&gt;0),((HOUR(DV11)*60)+MINUTE(DV11))-((HOUR(DU11)*60)+MINUTE(DU11)),"")</f>
        <v>10</v>
      </c>
      <c r="DY11" s="19" t="s">
        <v>30</v>
      </c>
      <c r="DZ11" s="19" t="n">
        <v>0.422916666666667</v>
      </c>
      <c r="EA11" s="19" t="n">
        <v>0.452083333333333</v>
      </c>
      <c r="EB11" s="1" t="str">
        <f aca="false">"[""" &amp; DY11 &amp; """, """ &amp; IF(DZ11="","",TEXT(DZ11,"h:mm")) &amp; """, """ &amp; IF(EA11="","",TEXT(EA11,"h:mm")) &amp; """],"</f>
        <v>["菱浦", "10:09", "10:51"],</v>
      </c>
      <c r="EC11" s="18" t="n">
        <f aca="false">IF(AND(LEN(DZ11)&lt;&gt;0,LEN(EA11)&lt;&gt;0),((HOUR(EA11)*60)+MINUTE(EA11))-((HOUR(DZ11)*60)+MINUTE(DZ11)),"")</f>
        <v>42</v>
      </c>
      <c r="ED11" s="19" t="s">
        <v>30</v>
      </c>
      <c r="EE11" s="19" t="n">
        <v>0.422916666666667</v>
      </c>
      <c r="EF11" s="19" t="n">
        <v>0.452083333333333</v>
      </c>
      <c r="EG11" s="1" t="str">
        <f aca="false">"[""" &amp; ED11 &amp; """, """ &amp; IF(EE11="","",TEXT(EE11,"h:mm")) &amp; """, """ &amp; IF(EF11="","",TEXT(EF11,"h:mm")) &amp; """],"</f>
        <v>["菱浦", "10:09", "10:51"],</v>
      </c>
      <c r="EH11" s="18" t="n">
        <f aca="false">IF(AND(LEN(EE11)&lt;&gt;0,LEN(EF11)&lt;&gt;0),((HOUR(EF11)*60)+MINUTE(EF11))-((HOUR(EE11)*60)+MINUTE(EE11)),"")</f>
        <v>42</v>
      </c>
      <c r="EI11" s="19" t="s">
        <v>30</v>
      </c>
      <c r="EJ11" s="19" t="n">
        <v>0.422916666666667</v>
      </c>
      <c r="EK11" s="19" t="n">
        <v>0.452083333333333</v>
      </c>
      <c r="EL11" s="1" t="str">
        <f aca="false">"[""" &amp; EI11 &amp; """, """ &amp; IF(EJ11="","",TEXT(EJ11,"h:mm")) &amp; """, """ &amp; IF(EK11="","",TEXT(EK11,"h:mm")) &amp; """],"</f>
        <v>["菱浦", "10:09", "10:51"],</v>
      </c>
      <c r="EM11" s="18" t="n">
        <f aca="false">IF(AND(LEN(EJ11)&lt;&gt;0,LEN(EK11)&lt;&gt;0),((HOUR(EK11)*60)+MINUTE(EK11))-((HOUR(EJ11)*60)+MINUTE(EJ11)),"")</f>
        <v>42</v>
      </c>
      <c r="EN11" s="19" t="s">
        <v>30</v>
      </c>
      <c r="EO11" s="19" t="n">
        <v>0.422916666666667</v>
      </c>
      <c r="EP11" s="19" t="n">
        <v>0.452083333333333</v>
      </c>
      <c r="EQ11" s="1" t="str">
        <f aca="false">"[""" &amp; EN11 &amp; """, """ &amp; IF(EO11="","",TEXT(EO11,"h:mm")) &amp; """, """ &amp; IF(EP11="","",TEXT(EP11,"h:mm")) &amp; """],"</f>
        <v>["菱浦", "10:09", "10:51"],</v>
      </c>
      <c r="ER11" s="18" t="n">
        <f aca="false">IF(AND(LEN(EO11)&lt;&gt;0,LEN(EP11)&lt;&gt;0),((HOUR(EP11)*60)+MINUTE(EP11))-((HOUR(EO11)*60)+MINUTE(EO11)),"")</f>
        <v>42</v>
      </c>
    </row>
    <row r="12" customFormat="false" ht="18" hidden="false" customHeight="false" outlineLevel="0" collapsed="false">
      <c r="E12" s="18"/>
      <c r="F12" s="23" t="s">
        <v>28</v>
      </c>
      <c r="G12" s="25" t="n">
        <v>0.774305555555556</v>
      </c>
      <c r="H12" s="23"/>
      <c r="I12" s="1" t="str">
        <f aca="false">"[""" &amp; F12 &amp; """, """ &amp; IF(G12="","",TEXT(G12,"h:mm")) &amp; """, """ &amp; IF(H12="","",TEXT(H12,"h:mm")) &amp; """]"</f>
        <v>["西郷", "18:35", ""]</v>
      </c>
      <c r="J12" s="18" t="str">
        <f aca="false">IF(AND(LEN(G12)&lt;&gt;0,LEN(H12)&lt;&gt;0),((HOUR(H12)*60)+MINUTE(H12))-((HOUR(G12)*60)+MINUTE(G12)),"")</f>
        <v/>
      </c>
      <c r="O12" s="18"/>
      <c r="P12" s="23" t="s">
        <v>28</v>
      </c>
      <c r="Q12" s="25" t="n">
        <v>0.774305555555556</v>
      </c>
      <c r="R12" s="23"/>
      <c r="S12" s="1" t="str">
        <f aca="false">"[""" &amp; P12 &amp; """, """ &amp; IF(Q12="","",TEXT(Q12,"h:mm")) &amp; """, """ &amp; IF(R12="","",TEXT(R12,"h:mm")) &amp; """]"</f>
        <v>["西郷", "18:35", ""]</v>
      </c>
      <c r="T12" s="18" t="str">
        <f aca="false">IF(AND(LEN(Q12)&lt;&gt;0,LEN(R12)&lt;&gt;0),((HOUR(R12)*60)+MINUTE(R12))-((HOUR(Q12)*60)+MINUTE(Q12)),"")</f>
        <v/>
      </c>
      <c r="Y12" s="18"/>
      <c r="AD12" s="18"/>
      <c r="AH12" s="1" t="s">
        <v>33</v>
      </c>
      <c r="AI12" s="18" t="str">
        <f aca="false">IF(AND(LEN(AF12)&lt;&gt;0,LEN(AG12)&lt;&gt;0),((HOUR(AG12)*60)+MINUTE(AG12))-((HOUR(AF12)*60)+MINUTE(AF12)),"")</f>
        <v/>
      </c>
      <c r="AN12" s="18"/>
      <c r="AO12" s="16" t="s">
        <v>27</v>
      </c>
      <c r="AP12" s="17" t="n">
        <v>0.767361111111111</v>
      </c>
      <c r="AQ12" s="16"/>
      <c r="AR12" s="1" t="str">
        <f aca="false">"[""" &amp; AO12 &amp; """, """ &amp; IF(AP12="","",TEXT(AP12,"h:mm")) &amp; """, """ &amp; IF(AQ12="","",TEXT(AQ12,"h:mm")) &amp; """]"</f>
        <v>["七類", "18:25", ""]</v>
      </c>
      <c r="AS12" s="18" t="str">
        <f aca="false">IF(AND(LEN(AP12)&lt;&gt;0,LEN(AQ12)&lt;&gt;0),((HOUR(AQ12)*60)+MINUTE(AQ12))-((HOUR(AP12)*60)+MINUTE(AP12)),"")</f>
        <v/>
      </c>
      <c r="AW12" s="1" t="s">
        <v>33</v>
      </c>
      <c r="AX12" s="18" t="str">
        <f aca="false">IF(AND(LEN(AU12)&lt;&gt;0,LEN(AV12)&lt;&gt;0),((HOUR(AV12)*60)+MINUTE(AV12))-((HOUR(AU12)*60)+MINUTE(AU12)),"")</f>
        <v/>
      </c>
      <c r="BC12" s="1" t="s">
        <v>33</v>
      </c>
      <c r="BD12" s="18" t="str">
        <f aca="false">IF(AND(LEN(BA12)&lt;&gt;0,LEN(BB12)&lt;&gt;0),((HOUR(BB12)*60)+MINUTE(BB12))-((HOUR(BA12)*60)+MINUTE(BA12)),"")</f>
        <v/>
      </c>
      <c r="BH12" s="1" t="s">
        <v>33</v>
      </c>
      <c r="BI12" s="18" t="str">
        <f aca="false">IF(AND(LEN(BF12)&lt;&gt;0,LEN(BG12)&lt;&gt;0),((HOUR(BG12)*60)+MINUTE(BG12))-((HOUR(BF12)*60)+MINUTE(BF12)),"")</f>
        <v/>
      </c>
      <c r="BJ12" s="16" t="s">
        <v>28</v>
      </c>
      <c r="BK12" s="17" t="n">
        <v>0.749305555555556</v>
      </c>
      <c r="BL12" s="17" t="n">
        <v>0.753472222222222</v>
      </c>
      <c r="BM12" s="1" t="str">
        <f aca="false">"[""" &amp; BJ12 &amp; """, """ &amp; IF(BK12="","",TEXT(BK12,"h:mm")) &amp; """, """ &amp; IF(BL12="","",TEXT(BL12,"h:mm")) &amp; """],"</f>
        <v>["西郷", "17:59", "18:05"],</v>
      </c>
      <c r="BN12" s="18" t="n">
        <f aca="false">IF(AND(LEN(BK12)&lt;&gt;0,LEN(BL12)&lt;&gt;0),((HOUR(BL12)*60)+MINUTE(BL12))-((HOUR(BK12)*60)+MINUTE(BK12)),"")</f>
        <v>6</v>
      </c>
      <c r="BR12" s="1" t="s">
        <v>33</v>
      </c>
      <c r="BS12" s="18" t="str">
        <f aca="false">IF(AND(LEN(BP12)&lt;&gt;0,LEN(BQ12)&lt;&gt;0),((HOUR(BQ12)*60)+MINUTE(BQ12))-((HOUR(BP12)*60)+MINUTE(BP12)),"")</f>
        <v/>
      </c>
      <c r="BW12" s="1" t="s">
        <v>33</v>
      </c>
      <c r="BX12" s="18" t="str">
        <f aca="false">IF(AND(LEN(BU12)&lt;&gt;0,LEN(BV12)&lt;&gt;0),((HOUR(BV12)*60)+MINUTE(BV12))-((HOUR(BU12)*60)+MINUTE(BU12)),"")</f>
        <v/>
      </c>
      <c r="BZ12" s="20" t="s">
        <v>29</v>
      </c>
      <c r="CA12" s="20" t="n">
        <v>0.732638888888889</v>
      </c>
      <c r="CB12" s="20" t="n">
        <v>0.736111111111111</v>
      </c>
      <c r="CC12" s="1" t="str">
        <f aca="false">"[""" &amp; BZ12 &amp; """, """ &amp; IF(CA12="","",TEXT(CA12,"h:mm")) &amp; """, """ &amp; IF(CB12="","",TEXT(CB12,"h:mm")) &amp; """],"</f>
        <v>["別府", "17:35", "17:40"],</v>
      </c>
      <c r="CD12" s="18" t="n">
        <f aca="false">IF(AND(LEN(CA12)&lt;&gt;0,LEN(CB12)&lt;&gt;0),((HOUR(CB12)*60)+MINUTE(CB12))-((HOUR(CA12)*60)+MINUTE(CA12)),"")</f>
        <v>5</v>
      </c>
      <c r="CI12" s="18" t="str">
        <f aca="false">IF(AND(LEN(CF12)&lt;&gt;0,LEN(CG12)&lt;&gt;0),((HOUR(CG12)*60)+MINUTE(CG12))-((HOUR(CF12)*60)+MINUTE(CF12)),"")</f>
        <v/>
      </c>
      <c r="CJ12" s="20" t="s">
        <v>29</v>
      </c>
      <c r="CK12" s="20" t="n">
        <v>0.440972222222222</v>
      </c>
      <c r="CL12" s="20" t="n">
        <v>0.445833333333333</v>
      </c>
      <c r="CM12" s="1" t="str">
        <f aca="false">"[""" &amp; CJ12 &amp; """, """ &amp; IF(CK12="","",TEXT(CK12,"h:mm")) &amp; """, """ &amp; IF(CL12="","",TEXT(CL12,"h:mm")) &amp; """],"</f>
        <v>["別府", "10:35", "10:42"],</v>
      </c>
      <c r="CN12" s="18" t="n">
        <f aca="false">IF(AND(LEN(CK12)&lt;&gt;0,LEN(CL12)&lt;&gt;0),((HOUR(CL12)*60)+MINUTE(CL12))-((HOUR(CK12)*60)+MINUTE(CK12)),"")</f>
        <v>7</v>
      </c>
      <c r="CO12" s="20" t="s">
        <v>29</v>
      </c>
      <c r="CP12" s="20" t="n">
        <v>0.440972222222222</v>
      </c>
      <c r="CQ12" s="20" t="n">
        <v>0.445833333333333</v>
      </c>
      <c r="CR12" s="1" t="str">
        <f aca="false">"[""" &amp; CO12 &amp; """, """ &amp; IF(CP12="","",TEXT(CP12,"h:mm")) &amp; """, """ &amp; IF(CQ12="","",TEXT(CQ12,"h:mm")) &amp; """],"</f>
        <v>["別府", "10:35", "10:42"],</v>
      </c>
      <c r="CS12" s="18" t="n">
        <f aca="false">IF(AND(LEN(CP12)&lt;&gt;0,LEN(CQ12)&lt;&gt;0),((HOUR(CQ12)*60)+MINUTE(CQ12))-((HOUR(CP12)*60)+MINUTE(CP12)),"")</f>
        <v>7</v>
      </c>
      <c r="CU12" s="21" t="s">
        <v>31</v>
      </c>
      <c r="CV12" s="22" t="n">
        <v>0.520833333333333</v>
      </c>
      <c r="CW12" s="22" t="n">
        <v>0.524305555555556</v>
      </c>
      <c r="CX12" s="1" t="str">
        <f aca="false">"[""" &amp; CU12 &amp; """, """ &amp; IF(CV12="","",TEXT(CV12,"h:mm")) &amp; """, """ &amp; IF(CW12="","",TEXT(CW12,"h:mm")) &amp; """],"</f>
        <v>["来居", "12:30", "12:35"],</v>
      </c>
      <c r="CY12" s="18" t="n">
        <f aca="false">IF(AND(LEN(CV12)&lt;&gt;0,LEN(CW12)&lt;&gt;0),((HOUR(CW12)*60)+MINUTE(CW12))-((HOUR(CV12)*60)+MINUTE(CV12)),"")</f>
        <v>5</v>
      </c>
      <c r="CZ12" s="20" t="s">
        <v>29</v>
      </c>
      <c r="DA12" s="20" t="n">
        <v>0.385416666666667</v>
      </c>
      <c r="DB12" s="20" t="n">
        <v>0.386805555555556</v>
      </c>
      <c r="DC12" s="1" t="str">
        <f aca="false">"[""" &amp; CZ12 &amp; """, """ &amp; IF(DA12="","",TEXT(DA12,"h:mm")) &amp; """, """ &amp; IF(DB12="","",TEXT(DB12,"h:mm")) &amp; """],"</f>
        <v>["別府", "9:15", "9:17"],</v>
      </c>
      <c r="DD12" s="18" t="n">
        <f aca="false">IF(AND(LEN(DA12)&lt;&gt;0,LEN(DB12)&lt;&gt;0),((HOUR(DB12)*60)+MINUTE(DB12))-((HOUR(DA12)*60)+MINUTE(DA12)),"")</f>
        <v>2</v>
      </c>
      <c r="DE12" s="20" t="s">
        <v>29</v>
      </c>
      <c r="DF12" s="20" t="n">
        <v>0.385416666666667</v>
      </c>
      <c r="DG12" s="20" t="n">
        <v>0.386805555555556</v>
      </c>
      <c r="DH12" s="1" t="str">
        <f aca="false">"[""" &amp; DE12 &amp; """, """ &amp; IF(DF12="","",TEXT(DF12,"h:mm")) &amp; """, """ &amp; IF(DG12="","",TEXT(DG12,"h:mm")) &amp; """],"</f>
        <v>["別府", "9:15", "9:17"],</v>
      </c>
      <c r="DI12" s="18" t="n">
        <f aca="false">IF(AND(LEN(DF12)&lt;&gt;0,LEN(DG12)&lt;&gt;0),((HOUR(DG12)*60)+MINUTE(DG12))-((HOUR(DF12)*60)+MINUTE(DF12)),"")</f>
        <v>2</v>
      </c>
      <c r="DJ12" s="20" t="s">
        <v>29</v>
      </c>
      <c r="DK12" s="20" t="n">
        <v>0.385416666666667</v>
      </c>
      <c r="DL12" s="20" t="n">
        <v>0.386805555555556</v>
      </c>
      <c r="DM12" s="1" t="str">
        <f aca="false">"[""" &amp; DJ12 &amp; """, """ &amp; IF(DK12="","",TEXT(DK12,"h:mm")) &amp; """, """ &amp; IF(DL12="","",TEXT(DL12,"h:mm")) &amp; """],"</f>
        <v>["別府", "9:15", "9:17"],</v>
      </c>
      <c r="DN12" s="18" t="n">
        <f aca="false">IF(AND(LEN(DK12)&lt;&gt;0,LEN(DL12)&lt;&gt;0),((HOUR(DL12)*60)+MINUTE(DL12))-((HOUR(DK12)*60)+MINUTE(DK12)),"")</f>
        <v>2</v>
      </c>
      <c r="DO12" s="20" t="s">
        <v>29</v>
      </c>
      <c r="DP12" s="20" t="n">
        <v>0.385416666666667</v>
      </c>
      <c r="DQ12" s="20" t="n">
        <v>0.386805555555556</v>
      </c>
      <c r="DR12" s="1" t="str">
        <f aca="false">"[""" &amp; DO12 &amp; """, """ &amp; IF(DP12="","",TEXT(DP12,"h:mm")) &amp; """, """ &amp; IF(DQ12="","",TEXT(DQ12,"h:mm")) &amp; """],"</f>
        <v>["別府", "9:15", "9:17"],</v>
      </c>
      <c r="DS12" s="18" t="n">
        <f aca="false">IF(AND(LEN(DP12)&lt;&gt;0,LEN(DQ12)&lt;&gt;0),((HOUR(DQ12)*60)+MINUTE(DQ12))-((HOUR(DP12)*60)+MINUTE(DP12)),"")</f>
        <v>2</v>
      </c>
      <c r="DT12" s="19" t="s">
        <v>30</v>
      </c>
      <c r="DU12" s="19" t="n">
        <v>0.557638888888889</v>
      </c>
      <c r="DV12" s="19" t="n">
        <v>0.559027777777778</v>
      </c>
      <c r="DW12" s="1" t="str">
        <f aca="false">"[""" &amp; DT12 &amp; """, """ &amp; IF(DU12="","",TEXT(DU12,"h:mm")) &amp; """, """ &amp; IF(DV12="","",TEXT(DV12,"h:mm")) &amp; """],"</f>
        <v>["菱浦", "13:23", "13:25"],</v>
      </c>
      <c r="DX12" s="18" t="n">
        <f aca="false">IF(AND(LEN(DU12)&lt;&gt;0,LEN(DV12)&lt;&gt;0),((HOUR(DV12)*60)+MINUTE(DV12))-((HOUR(DU12)*60)+MINUTE(DU12)),"")</f>
        <v>2</v>
      </c>
      <c r="DY12" s="20" t="s">
        <v>29</v>
      </c>
      <c r="DZ12" s="20" t="n">
        <v>0.456944444444444</v>
      </c>
      <c r="EA12" s="20" t="n">
        <v>0.506944444444444</v>
      </c>
      <c r="EB12" s="1" t="str">
        <f aca="false">"[""" &amp; DY12 &amp; """, """ &amp; IF(DZ12="","",TEXT(DZ12,"h:mm")) &amp; """, """ &amp; IF(EA12="","",TEXT(EA12,"h:mm")) &amp; """],"</f>
        <v>["別府", "10:58", "12:10"],</v>
      </c>
      <c r="EC12" s="18" t="n">
        <f aca="false">IF(AND(LEN(DZ12)&lt;&gt;0,LEN(EA12)&lt;&gt;0),((HOUR(EA12)*60)+MINUTE(EA12))-((HOUR(DZ12)*60)+MINUTE(DZ12)),"")</f>
        <v>72</v>
      </c>
      <c r="ED12" s="20" t="s">
        <v>29</v>
      </c>
      <c r="EE12" s="20" t="n">
        <v>0.456944444444444</v>
      </c>
      <c r="EF12" s="20" t="n">
        <v>0.506944444444444</v>
      </c>
      <c r="EG12" s="1" t="str">
        <f aca="false">"[""" &amp; ED12 &amp; """, """ &amp; IF(EE12="","",TEXT(EE12,"h:mm")) &amp; """, """ &amp; IF(EF12="","",TEXT(EF12,"h:mm")) &amp; """],"</f>
        <v>["別府", "10:58", "12:10"],</v>
      </c>
      <c r="EH12" s="18" t="n">
        <f aca="false">IF(AND(LEN(EE12)&lt;&gt;0,LEN(EF12)&lt;&gt;0),((HOUR(EF12)*60)+MINUTE(EF12))-((HOUR(EE12)*60)+MINUTE(EE12)),"")</f>
        <v>72</v>
      </c>
      <c r="EI12" s="20" t="s">
        <v>29</v>
      </c>
      <c r="EJ12" s="20" t="n">
        <v>0.456944444444444</v>
      </c>
      <c r="EK12" s="20" t="n">
        <v>0.506944444444444</v>
      </c>
      <c r="EL12" s="1" t="str">
        <f aca="false">"[""" &amp; EI12 &amp; """, """ &amp; IF(EJ12="","",TEXT(EJ12,"h:mm")) &amp; """, """ &amp; IF(EK12="","",TEXT(EK12,"h:mm")) &amp; """],"</f>
        <v>["別府", "10:58", "12:10"],</v>
      </c>
      <c r="EM12" s="18" t="n">
        <f aca="false">IF(AND(LEN(EJ12)&lt;&gt;0,LEN(EK12)&lt;&gt;0),((HOUR(EK12)*60)+MINUTE(EK12))-((HOUR(EJ12)*60)+MINUTE(EJ12)),"")</f>
        <v>72</v>
      </c>
      <c r="EN12" s="20" t="s">
        <v>29</v>
      </c>
      <c r="EO12" s="20" t="n">
        <v>0.456944444444444</v>
      </c>
      <c r="EP12" s="20" t="n">
        <v>0.506944444444444</v>
      </c>
      <c r="EQ12" s="1" t="str">
        <f aca="false">"[""" &amp; EN12 &amp; """, """ &amp; IF(EO12="","",TEXT(EO12,"h:mm")) &amp; """, """ &amp; IF(EP12="","",TEXT(EP12,"h:mm")) &amp; """],"</f>
        <v>["別府", "10:58", "12:10"],</v>
      </c>
      <c r="ER12" s="18" t="n">
        <f aca="false">IF(AND(LEN(EO12)&lt;&gt;0,LEN(EP12)&lt;&gt;0),((HOUR(EP12)*60)+MINUTE(EP12))-((HOUR(EO12)*60)+MINUTE(EO12)),"")</f>
        <v>72</v>
      </c>
    </row>
    <row r="13" customFormat="false" ht="18" hidden="false" customHeight="false" outlineLevel="0" collapsed="false">
      <c r="E13" s="18"/>
      <c r="I13" s="1" t="s">
        <v>33</v>
      </c>
      <c r="J13" s="18" t="str">
        <f aca="false">IF(AND(LEN(G13)&lt;&gt;0,LEN(H13)&lt;&gt;0),((HOUR(H13)*60)+MINUTE(H13))-((HOUR(G13)*60)+MINUTE(G13)),"")</f>
        <v/>
      </c>
      <c r="O13" s="18"/>
      <c r="S13" s="1" t="s">
        <v>33</v>
      </c>
      <c r="T13" s="18" t="str">
        <f aca="false">IF(AND(LEN(Q13)&lt;&gt;0,LEN(R13)&lt;&gt;0),((HOUR(R13)*60)+MINUTE(R13))-((HOUR(Q13)*60)+MINUTE(Q13)),"")</f>
        <v/>
      </c>
      <c r="Y13" s="18"/>
      <c r="AD13" s="18"/>
      <c r="AI13" s="18"/>
      <c r="AN13" s="18"/>
      <c r="AR13" s="1" t="s">
        <v>33</v>
      </c>
      <c r="AS13" s="18" t="str">
        <f aca="false">IF(AND(LEN(AP13)&lt;&gt;0,LEN(AQ13)&lt;&gt;0),((HOUR(AQ13)*60)+MINUTE(AQ13))-((HOUR(AP13)*60)+MINUTE(AP13)),"")</f>
        <v/>
      </c>
      <c r="AX13" s="18" t="str">
        <f aca="false">IF(AND(LEN(AU13)&lt;&gt;0,LEN(AV13)&lt;&gt;0),((HOUR(AV13)*60)+MINUTE(AV13))-((HOUR(AU13)*60)+MINUTE(AU13)),"")</f>
        <v/>
      </c>
      <c r="BD13" s="18" t="str">
        <f aca="false">IF(AND(LEN(BA13)&lt;&gt;0,LEN(BB13)&lt;&gt;0),((HOUR(BB13)*60)+MINUTE(BB13))-((HOUR(BA13)*60)+MINUTE(BA13)),"")</f>
        <v/>
      </c>
      <c r="BI13" s="18" t="str">
        <f aca="false">IF(AND(LEN(BF13)&lt;&gt;0,LEN(BG13)&lt;&gt;0),((HOUR(BG13)*60)+MINUTE(BG13))-((HOUR(BF13)*60)+MINUTE(BF13)),"")</f>
        <v/>
      </c>
      <c r="BJ13" s="16" t="s">
        <v>30</v>
      </c>
      <c r="BK13" s="17" t="n">
        <v>0.775</v>
      </c>
      <c r="BL13" s="16" t="n">
        <v>0.777083333333333</v>
      </c>
      <c r="BM13" s="1" t="str">
        <f aca="false">"[""" &amp; BJ13 &amp; """, """ &amp; IF(BK13="","",TEXT(BK13,"h:mm")) &amp; """, """ &amp; IF(BL13="","",TEXT(BL13,"h:mm")) &amp; """],"</f>
        <v>["菱浦", "18:36", "18:39"],</v>
      </c>
      <c r="BN13" s="18" t="n">
        <f aca="false">IF(AND(LEN(BK13)&lt;&gt;0,LEN(BL13)&lt;&gt;0),((HOUR(BL13)*60)+MINUTE(BL13))-((HOUR(BK13)*60)+MINUTE(BK13)),"")</f>
        <v>3</v>
      </c>
      <c r="BS13" s="18" t="str">
        <f aca="false">IF(AND(LEN(BP13)&lt;&gt;0,LEN(BQ13)&lt;&gt;0),((HOUR(BQ13)*60)+MINUTE(BQ13))-((HOUR(BP13)*60)+MINUTE(BP13)),"")</f>
        <v/>
      </c>
      <c r="BX13" s="18" t="str">
        <f aca="false">IF(AND(LEN(BU13)&lt;&gt;0,LEN(BV13)&lt;&gt;0),((HOUR(BV13)*60)+MINUTE(BV13))-((HOUR(BU13)*60)+MINUTE(BU13)),"")</f>
        <v/>
      </c>
      <c r="BZ13" s="19" t="s">
        <v>30</v>
      </c>
      <c r="CA13" s="19" t="n">
        <v>0.744444444444445</v>
      </c>
      <c r="CC13" s="1" t="str">
        <f aca="false">"[""" &amp; BZ13 &amp; """, """ &amp; IF(CA13="","",TEXT(CA13,"h:mm")) &amp; """, """ &amp; IF(CB13="","",TEXT(CB13,"h:mm")) &amp; """]"</f>
        <v>["菱浦", "17:52", ""]</v>
      </c>
      <c r="CD13" s="18" t="str">
        <f aca="false">IF(AND(LEN(CA13)&lt;&gt;0,LEN(CB13)&lt;&gt;0),((HOUR(CB13)*60)+MINUTE(CB13))-((HOUR(CA13)*60)+MINUTE(CA13)),"")</f>
        <v/>
      </c>
      <c r="CI13" s="18" t="str">
        <f aca="false">IF(AND(LEN(CF13)&lt;&gt;0,LEN(CG13)&lt;&gt;0),((HOUR(CG13)*60)+MINUTE(CG13))-((HOUR(CF13)*60)+MINUTE(CF13)),"")</f>
        <v/>
      </c>
      <c r="CJ13" s="19" t="s">
        <v>30</v>
      </c>
      <c r="CK13" s="19" t="n">
        <v>0.454166666666667</v>
      </c>
      <c r="CL13" s="19" t="n">
        <v>0.510416666666667</v>
      </c>
      <c r="CM13" s="1" t="str">
        <f aca="false">"[""" &amp; CJ13 &amp; """, """ &amp; IF(CK13="","",TEXT(CK13,"h:mm")) &amp; """, """ &amp; IF(CL13="","",TEXT(CL13,"h:mm")) &amp; """],"</f>
        <v>["菱浦", "10:54", "12:15"],</v>
      </c>
      <c r="CN13" s="18" t="n">
        <f aca="false">IF(AND(LEN(CK13)&lt;&gt;0,LEN(CL13)&lt;&gt;0),((HOUR(CL13)*60)+MINUTE(CL13))-((HOUR(CK13)*60)+MINUTE(CK13)),"")</f>
        <v>81</v>
      </c>
      <c r="CO13" s="19" t="s">
        <v>30</v>
      </c>
      <c r="CP13" s="19" t="n">
        <v>0.454166666666667</v>
      </c>
      <c r="CQ13" s="19" t="n">
        <v>0.510416666666667</v>
      </c>
      <c r="CR13" s="1" t="str">
        <f aca="false">"[""" &amp; CO13 &amp; """, """ &amp; IF(CP13="","",TEXT(CP13,"h:mm")) &amp; """, """ &amp; IF(CQ13="","",TEXT(CQ13,"h:mm")) &amp; """],"</f>
        <v>["菱浦", "10:54", "12:15"],</v>
      </c>
      <c r="CS13" s="18" t="n">
        <f aca="false">IF(AND(LEN(CP13)&lt;&gt;0,LEN(CQ13)&lt;&gt;0),((HOUR(CQ13)*60)+MINUTE(CQ13))-((HOUR(CP13)*60)+MINUTE(CP13)),"")</f>
        <v>81</v>
      </c>
      <c r="CU13" s="19" t="s">
        <v>30</v>
      </c>
      <c r="CV13" s="19" t="n">
        <v>0.538194444444444</v>
      </c>
      <c r="CW13" s="19" t="n">
        <v>0.539583333333333</v>
      </c>
      <c r="CX13" s="1" t="str">
        <f aca="false">"[""" &amp; CU13 &amp; """, """ &amp; IF(CV13="","",TEXT(CV13,"h:mm")) &amp; """, """ &amp; IF(CW13="","",TEXT(CW13,"h:mm")) &amp; """],"</f>
        <v>["菱浦", "12:55", "12:57"],</v>
      </c>
      <c r="CY13" s="18" t="n">
        <f aca="false">IF(AND(LEN(CV13)&lt;&gt;0,LEN(CW13)&lt;&gt;0),((HOUR(CW13)*60)+MINUTE(CW13))-((HOUR(CV13)*60)+MINUTE(CV13)),"")</f>
        <v>2</v>
      </c>
      <c r="CZ13" s="19" t="s">
        <v>30</v>
      </c>
      <c r="DA13" s="19" t="n">
        <v>0.391666666666667</v>
      </c>
      <c r="DB13" s="19" t="n">
        <v>0.393055555555556</v>
      </c>
      <c r="DC13" s="1" t="str">
        <f aca="false">"[""" &amp; CZ13 &amp; """, """ &amp; IF(DA13="","",TEXT(DA13,"h:mm")) &amp; """, """ &amp; IF(DB13="","",TEXT(DB13,"h:mm")) &amp; """],"</f>
        <v>["菱浦", "9:24", "9:26"],</v>
      </c>
      <c r="DD13" s="18" t="n">
        <f aca="false">IF(AND(LEN(DA13)&lt;&gt;0,LEN(DB13)&lt;&gt;0),((HOUR(DB13)*60)+MINUTE(DB13))-((HOUR(DA13)*60)+MINUTE(DA13)),"")</f>
        <v>2</v>
      </c>
      <c r="DE13" s="19" t="s">
        <v>30</v>
      </c>
      <c r="DF13" s="19" t="n">
        <v>0.391666666666667</v>
      </c>
      <c r="DG13" s="19" t="n">
        <v>0.393055555555556</v>
      </c>
      <c r="DH13" s="1" t="str">
        <f aca="false">"[""" &amp; DE13 &amp; """, """ &amp; IF(DF13="","",TEXT(DF13,"h:mm")) &amp; """, """ &amp; IF(DG13="","",TEXT(DG13,"h:mm")) &amp; """],"</f>
        <v>["菱浦", "9:24", "9:26"],</v>
      </c>
      <c r="DI13" s="18" t="n">
        <f aca="false">IF(AND(LEN(DF13)&lt;&gt;0,LEN(DG13)&lt;&gt;0),((HOUR(DG13)*60)+MINUTE(DG13))-((HOUR(DF13)*60)+MINUTE(DF13)),"")</f>
        <v>2</v>
      </c>
      <c r="DJ13" s="19" t="s">
        <v>30</v>
      </c>
      <c r="DK13" s="19" t="n">
        <v>0.391666666666667</v>
      </c>
      <c r="DL13" s="19" t="n">
        <v>0.393055555555556</v>
      </c>
      <c r="DM13" s="1" t="str">
        <f aca="false">"[""" &amp; DJ13 &amp; """, """ &amp; IF(DK13="","",TEXT(DK13,"h:mm")) &amp; """, """ &amp; IF(DL13="","",TEXT(DL13,"h:mm")) &amp; """],"</f>
        <v>["菱浦", "9:24", "9:26"],</v>
      </c>
      <c r="DN13" s="18" t="n">
        <f aca="false">IF(AND(LEN(DK13)&lt;&gt;0,LEN(DL13)&lt;&gt;0),((HOUR(DL13)*60)+MINUTE(DL13))-((HOUR(DK13)*60)+MINUTE(DK13)),"")</f>
        <v>2</v>
      </c>
      <c r="DO13" s="19" t="s">
        <v>30</v>
      </c>
      <c r="DP13" s="19" t="n">
        <v>0.391666666666667</v>
      </c>
      <c r="DQ13" s="19" t="n">
        <v>0.393055555555556</v>
      </c>
      <c r="DR13" s="1" t="str">
        <f aca="false">"[""" &amp; DO13 &amp; """, """ &amp; IF(DP13="","",TEXT(DP13,"h:mm")) &amp; """, """ &amp; IF(DQ13="","",TEXT(DQ13,"h:mm")) &amp; """],"</f>
        <v>["菱浦", "9:24", "9:26"],</v>
      </c>
      <c r="DS13" s="18" t="n">
        <f aca="false">IF(AND(LEN(DP13)&lt;&gt;0,LEN(DQ13)&lt;&gt;0),((HOUR(DQ13)*60)+MINUTE(DQ13))-((HOUR(DP13)*60)+MINUTE(DP13)),"")</f>
        <v>2</v>
      </c>
      <c r="DT13" s="20" t="s">
        <v>29</v>
      </c>
      <c r="DU13" s="20" t="n">
        <v>0.564583333333333</v>
      </c>
      <c r="DV13" s="20" t="n">
        <v>0.71875</v>
      </c>
      <c r="DW13" s="1" t="str">
        <f aca="false">"[""" &amp; DT13 &amp; """, """ &amp; IF(DU13="","",TEXT(DU13,"h:mm")) &amp; """, """ &amp; IF(DV13="","",TEXT(DV13,"h:mm")) &amp; """],"</f>
        <v>["別府", "13:33", "17:15"],</v>
      </c>
      <c r="DX13" s="18" t="n">
        <f aca="false">IF(AND(LEN(DU13)&lt;&gt;0,LEN(DV13)&lt;&gt;0),((HOUR(DV13)*60)+MINUTE(DV13))-((HOUR(DU13)*60)+MINUTE(DU13)),"")</f>
        <v>222</v>
      </c>
      <c r="DY13" s="19" t="s">
        <v>30</v>
      </c>
      <c r="DZ13" s="19" t="n">
        <v>0.5125</v>
      </c>
      <c r="EA13" s="19" t="n">
        <v>0.520833333333333</v>
      </c>
      <c r="EB13" s="1" t="str">
        <f aca="false">"[""" &amp; DY13 &amp; """, """ &amp; IF(DZ13="","",TEXT(DZ13,"h:mm")) &amp; """, """ &amp; IF(EA13="","",TEXT(EA13,"h:mm")) &amp; """],"</f>
        <v>["菱浦", "12:18", "12:30"],</v>
      </c>
      <c r="EC13" s="18" t="n">
        <f aca="false">IF(AND(LEN(DZ13)&lt;&gt;0,LEN(EA13)&lt;&gt;0),((HOUR(EA13)*60)+MINUTE(EA13))-((HOUR(DZ13)*60)+MINUTE(DZ13)),"")</f>
        <v>12</v>
      </c>
      <c r="ED13" s="19" t="s">
        <v>30</v>
      </c>
      <c r="EE13" s="19" t="n">
        <v>0.5125</v>
      </c>
      <c r="EF13" s="19" t="n">
        <v>0.520833333333333</v>
      </c>
      <c r="EG13" s="1" t="str">
        <f aca="false">"[""" &amp; ED13 &amp; """, """ &amp; IF(EE13="","",TEXT(EE13,"h:mm")) &amp; """, """ &amp; IF(EF13="","",TEXT(EF13,"h:mm")) &amp; """],"</f>
        <v>["菱浦", "12:18", "12:30"],</v>
      </c>
      <c r="EH13" s="18" t="n">
        <f aca="false">IF(AND(LEN(EE13)&lt;&gt;0,LEN(EF13)&lt;&gt;0),((HOUR(EF13)*60)+MINUTE(EF13))-((HOUR(EE13)*60)+MINUTE(EE13)),"")</f>
        <v>12</v>
      </c>
      <c r="EI13" s="19" t="s">
        <v>30</v>
      </c>
      <c r="EJ13" s="19" t="n">
        <v>0.5125</v>
      </c>
      <c r="EK13" s="19" t="n">
        <v>0.520833333333333</v>
      </c>
      <c r="EL13" s="1" t="str">
        <f aca="false">"[""" &amp; EI13 &amp; """, """ &amp; IF(EJ13="","",TEXT(EJ13,"h:mm")) &amp; """, """ &amp; IF(EK13="","",TEXT(EK13,"h:mm")) &amp; """],"</f>
        <v>["菱浦", "12:18", "12:30"],</v>
      </c>
      <c r="EM13" s="18" t="n">
        <f aca="false">IF(AND(LEN(EJ13)&lt;&gt;0,LEN(EK13)&lt;&gt;0),((HOUR(EK13)*60)+MINUTE(EK13))-((HOUR(EJ13)*60)+MINUTE(EJ13)),"")</f>
        <v>12</v>
      </c>
      <c r="EN13" s="19" t="s">
        <v>30</v>
      </c>
      <c r="EO13" s="19" t="n">
        <v>0.5125</v>
      </c>
      <c r="EP13" s="19" t="n">
        <v>0.520833333333333</v>
      </c>
      <c r="EQ13" s="1" t="str">
        <f aca="false">"[""" &amp; EN13 &amp; """, """ &amp; IF(EO13="","",TEXT(EO13,"h:mm")) &amp; """, """ &amp; IF(EP13="","",TEXT(EP13,"h:mm")) &amp; """],"</f>
        <v>["菱浦", "12:18", "12:30"],</v>
      </c>
      <c r="ER13" s="18" t="n">
        <f aca="false">IF(AND(LEN(EO13)&lt;&gt;0,LEN(EP13)&lt;&gt;0),((HOUR(EP13)*60)+MINUTE(EP13))-((HOUR(EO13)*60)+MINUTE(EO13)),"")</f>
        <v>12</v>
      </c>
    </row>
    <row r="14" customFormat="false" ht="18" hidden="false" customHeight="false" outlineLevel="0" collapsed="false">
      <c r="E14" s="18"/>
      <c r="J14" s="18"/>
      <c r="O14" s="18"/>
      <c r="T14" s="18"/>
      <c r="Y14" s="18"/>
      <c r="AD14" s="18"/>
      <c r="AI14" s="18"/>
      <c r="AN14" s="18"/>
      <c r="AS14" s="18" t="str">
        <f aca="false">IF(AND(LEN(AP14)&lt;&gt;0,LEN(AQ14)&lt;&gt;0),((HOUR(AQ14)*60)+MINUTE(AQ14))-((HOUR(AP14)*60)+MINUTE(AP14)),"")</f>
        <v/>
      </c>
      <c r="AX14" s="18" t="str">
        <f aca="false">IF(AND(LEN(AU14)&lt;&gt;0,LEN(AV14)&lt;&gt;0),((HOUR(AV14)*60)+MINUTE(AV14))-((HOUR(AU14)*60)+MINUTE(AU14)),"")</f>
        <v/>
      </c>
      <c r="BD14" s="18" t="str">
        <f aca="false">IF(AND(LEN(BA14)&lt;&gt;0,LEN(BB14)&lt;&gt;0),((HOUR(BB14)*60)+MINUTE(BB14))-((HOUR(BA14)*60)+MINUTE(BA14)),"")</f>
        <v/>
      </c>
      <c r="BI14" s="18" t="str">
        <f aca="false">IF(AND(LEN(BF14)&lt;&gt;0,LEN(BG14)&lt;&gt;0),((HOUR(BG14)*60)+MINUTE(BG14))-((HOUR(BF14)*60)+MINUTE(BF14)),"")</f>
        <v/>
      </c>
      <c r="BJ14" s="16" t="s">
        <v>29</v>
      </c>
      <c r="BK14" s="16" t="n">
        <v>0.784027777777778</v>
      </c>
      <c r="BL14" s="16"/>
      <c r="BM14" s="1" t="str">
        <f aca="false">"[""" &amp; BJ14 &amp; """, """ &amp; IF(BK14="","",TEXT(BK14,"h:mm")) &amp; """, """ &amp; IF(BL14="","",TEXT(BL14,"h:mm")) &amp; """]"</f>
        <v>["別府", "18:49", ""]</v>
      </c>
      <c r="BN14" s="18" t="str">
        <f aca="false">IF(AND(LEN(BK14)&lt;&gt;0,LEN(BL14)&lt;&gt;0),((HOUR(BL14)*60)+MINUTE(BL14))-((HOUR(BK14)*60)+MINUTE(BK14)),"")</f>
        <v/>
      </c>
      <c r="BS14" s="18" t="str">
        <f aca="false">IF(AND(LEN(BP14)&lt;&gt;0,LEN(BQ14)&lt;&gt;0),((HOUR(BQ14)*60)+MINUTE(BQ14))-((HOUR(BP14)*60)+MINUTE(BP14)),"")</f>
        <v/>
      </c>
      <c r="BX14" s="18" t="str">
        <f aca="false">IF(AND(LEN(BU14)&lt;&gt;0,LEN(BV14)&lt;&gt;0),((HOUR(BV14)*60)+MINUTE(BV14))-((HOUR(BU14)*60)+MINUTE(BU14)),"")</f>
        <v/>
      </c>
      <c r="CC14" s="1" t="s">
        <v>33</v>
      </c>
      <c r="CD14" s="18" t="str">
        <f aca="false">IF(AND(LEN(CA14)&lt;&gt;0,LEN(CB14)&lt;&gt;0),((HOUR(CB14)*60)+MINUTE(CB14))-((HOUR(CA14)*60)+MINUTE(CA14)),"")</f>
        <v/>
      </c>
      <c r="CI14" s="18" t="str">
        <f aca="false">IF(AND(LEN(CF14)&lt;&gt;0,LEN(CG14)&lt;&gt;0),((HOUR(CG14)*60)+MINUTE(CG14))-((HOUR(CF14)*60)+MINUTE(CF14)),"")</f>
        <v/>
      </c>
      <c r="CJ14" s="20" t="s">
        <v>29</v>
      </c>
      <c r="CK14" s="20" t="n">
        <v>0.520833333333333</v>
      </c>
      <c r="CL14" s="20" t="n">
        <v>0.524305555555556</v>
      </c>
      <c r="CM14" s="1" t="str">
        <f aca="false">"[""" &amp; CJ14 &amp; """, """ &amp; IF(CK14="","",TEXT(CK14,"h:mm")) &amp; """, """ &amp; IF(CL14="","",TEXT(CL14,"h:mm")) &amp; """],"</f>
        <v>["別府", "12:30", "12:35"],</v>
      </c>
      <c r="CN14" s="18" t="n">
        <f aca="false">IF(AND(LEN(CK14)&lt;&gt;0,LEN(CL14)&lt;&gt;0),((HOUR(CL14)*60)+MINUTE(CL14))-((HOUR(CK14)*60)+MINUTE(CK14)),"")</f>
        <v>5</v>
      </c>
      <c r="CO14" s="20" t="s">
        <v>29</v>
      </c>
      <c r="CP14" s="20" t="n">
        <v>0.520833333333333</v>
      </c>
      <c r="CQ14" s="20" t="n">
        <v>0.524305555555556</v>
      </c>
      <c r="CR14" s="1" t="str">
        <f aca="false">"[""" &amp; CO14 &amp; """, """ &amp; IF(CP14="","",TEXT(CP14,"h:mm")) &amp; """, """ &amp; IF(CQ14="","",TEXT(CQ14,"h:mm")) &amp; """],"</f>
        <v>["別府", "12:30", "12:35"],</v>
      </c>
      <c r="CS14" s="18" t="n">
        <f aca="false">IF(AND(LEN(CP14)&lt;&gt;0,LEN(CQ14)&lt;&gt;0),((HOUR(CQ14)*60)+MINUTE(CQ14))-((HOUR(CP14)*60)+MINUTE(CP14)),"")</f>
        <v>5</v>
      </c>
      <c r="CU14" s="20" t="s">
        <v>29</v>
      </c>
      <c r="CV14" s="20" t="n">
        <v>0.545138888888889</v>
      </c>
      <c r="CW14" s="20" t="n">
        <v>0.552083333333333</v>
      </c>
      <c r="CX14" s="1" t="str">
        <f aca="false">"[""" &amp; CU14 &amp; """, """ &amp; IF(CV14="","",TEXT(CV14,"h:mm")) &amp; """, """ &amp; IF(CW14="","",TEXT(CW14,"h:mm")) &amp; """],"</f>
        <v>["別府", "13:05", "13:15"],</v>
      </c>
      <c r="CY14" s="18" t="n">
        <f aca="false">IF(AND(LEN(CV14)&lt;&gt;0,LEN(CW14)&lt;&gt;0),((HOUR(CW14)*60)+MINUTE(CW14))-((HOUR(CV14)*60)+MINUTE(CV14)),"")</f>
        <v>10</v>
      </c>
      <c r="CZ14" s="20" t="s">
        <v>29</v>
      </c>
      <c r="DA14" s="20" t="n">
        <v>0.397916666666667</v>
      </c>
      <c r="DB14" s="20" t="n">
        <v>0.418055555555556</v>
      </c>
      <c r="DC14" s="1" t="str">
        <f aca="false">"[""" &amp; CZ14 &amp; """, """ &amp; IF(DA14="","",TEXT(DA14,"h:mm")) &amp; """, """ &amp; IF(DB14="","",TEXT(DB14,"h:mm")) &amp; """],"</f>
        <v>["別府", "9:33", "10:02"],</v>
      </c>
      <c r="DD14" s="18" t="n">
        <f aca="false">IF(AND(LEN(DA14)&lt;&gt;0,LEN(DB14)&lt;&gt;0),((HOUR(DB14)*60)+MINUTE(DB14))-((HOUR(DA14)*60)+MINUTE(DA14)),"")</f>
        <v>29</v>
      </c>
      <c r="DE14" s="20" t="s">
        <v>29</v>
      </c>
      <c r="DF14" s="20" t="n">
        <v>0.397916666666667</v>
      </c>
      <c r="DG14" s="20" t="n">
        <v>0.418055555555556</v>
      </c>
      <c r="DH14" s="1" t="str">
        <f aca="false">"[""" &amp; DE14 &amp; """, """ &amp; IF(DF14="","",TEXT(DF14,"h:mm")) &amp; """, """ &amp; IF(DG14="","",TEXT(DG14,"h:mm")) &amp; """],"</f>
        <v>["別府", "9:33", "10:02"],</v>
      </c>
      <c r="DI14" s="18" t="n">
        <f aca="false">IF(AND(LEN(DF14)&lt;&gt;0,LEN(DG14)&lt;&gt;0),((HOUR(DG14)*60)+MINUTE(DG14))-((HOUR(DF14)*60)+MINUTE(DF14)),"")</f>
        <v>29</v>
      </c>
      <c r="DJ14" s="20" t="s">
        <v>29</v>
      </c>
      <c r="DK14" s="20" t="n">
        <v>0.397916666666667</v>
      </c>
      <c r="DL14" s="20" t="n">
        <v>0.418055555555556</v>
      </c>
      <c r="DM14" s="1" t="str">
        <f aca="false">"[""" &amp; DJ14 &amp; """, """ &amp; IF(DK14="","",TEXT(DK14,"h:mm")) &amp; """, """ &amp; IF(DL14="","",TEXT(DL14,"h:mm")) &amp; """],"</f>
        <v>["別府", "9:33", "10:02"],</v>
      </c>
      <c r="DN14" s="18" t="n">
        <f aca="false">IF(AND(LEN(DK14)&lt;&gt;0,LEN(DL14)&lt;&gt;0),((HOUR(DL14)*60)+MINUTE(DL14))-((HOUR(DK14)*60)+MINUTE(DK14)),"")</f>
        <v>29</v>
      </c>
      <c r="DO14" s="20" t="s">
        <v>29</v>
      </c>
      <c r="DP14" s="20" t="n">
        <v>0.397916666666667</v>
      </c>
      <c r="DQ14" s="20" t="n">
        <v>0.418055555555556</v>
      </c>
      <c r="DR14" s="1" t="str">
        <f aca="false">"[""" &amp; DO14 &amp; """, """ &amp; IF(DP14="","",TEXT(DP14,"h:mm")) &amp; """, """ &amp; IF(DQ14="","",TEXT(DQ14,"h:mm")) &amp; """],"</f>
        <v>["別府", "9:33", "10:02"],</v>
      </c>
      <c r="DS14" s="18" t="n">
        <f aca="false">IF(AND(LEN(DP14)&lt;&gt;0,LEN(DQ14)&lt;&gt;0),((HOUR(DQ14)*60)+MINUTE(DQ14))-((HOUR(DP14)*60)+MINUTE(DP14)),"")</f>
        <v>29</v>
      </c>
      <c r="DT14" s="19" t="s">
        <v>30</v>
      </c>
      <c r="DU14" s="19" t="n">
        <v>0.724305555555556</v>
      </c>
      <c r="DV14" s="19" t="n">
        <v>0.75625</v>
      </c>
      <c r="DW14" s="1" t="str">
        <f aca="false">"[""" &amp; DT14 &amp; """, """ &amp; IF(DU14="","",TEXT(DU14,"h:mm")) &amp; """, """ &amp; IF(DV14="","",TEXT(DV14,"h:mm")) &amp; """],"</f>
        <v>["菱浦", "17:23", "18:09"],</v>
      </c>
      <c r="DX14" s="18" t="n">
        <f aca="false">IF(AND(LEN(DU14)&lt;&gt;0,LEN(DV14)&lt;&gt;0),((HOUR(DV14)*60)+MINUTE(DV14))-((HOUR(DU14)*60)+MINUTE(DU14)),"")</f>
        <v>46</v>
      </c>
      <c r="DY14" s="20" t="s">
        <v>29</v>
      </c>
      <c r="DZ14" s="20" t="n">
        <v>0.525694444444445</v>
      </c>
      <c r="EA14" s="20" t="n">
        <v>0.534722222222222</v>
      </c>
      <c r="EB14" s="1" t="str">
        <f aca="false">"[""" &amp; DY14 &amp; """, """ &amp; IF(DZ14="","",TEXT(DZ14,"h:mm")) &amp; """, """ &amp; IF(EA14="","",TEXT(EA14,"h:mm")) &amp; """],"</f>
        <v>["別府", "12:37", "12:50"],</v>
      </c>
      <c r="EC14" s="18" t="n">
        <f aca="false">IF(AND(LEN(DZ14)&lt;&gt;0,LEN(EA14)&lt;&gt;0),((HOUR(EA14)*60)+MINUTE(EA14))-((HOUR(DZ14)*60)+MINUTE(DZ14)),"")</f>
        <v>13</v>
      </c>
      <c r="ED14" s="20" t="s">
        <v>29</v>
      </c>
      <c r="EE14" s="20" t="n">
        <v>0.525694444444445</v>
      </c>
      <c r="EF14" s="20" t="n">
        <v>0.534722222222222</v>
      </c>
      <c r="EG14" s="1" t="str">
        <f aca="false">"[""" &amp; ED14 &amp; """, """ &amp; IF(EE14="","",TEXT(EE14,"h:mm")) &amp; """, """ &amp; IF(EF14="","",TEXT(EF14,"h:mm")) &amp; """],"</f>
        <v>["別府", "12:37", "12:50"],</v>
      </c>
      <c r="EH14" s="18" t="n">
        <f aca="false">IF(AND(LEN(EE14)&lt;&gt;0,LEN(EF14)&lt;&gt;0),((HOUR(EF14)*60)+MINUTE(EF14))-((HOUR(EE14)*60)+MINUTE(EE14)),"")</f>
        <v>13</v>
      </c>
      <c r="EI14" s="20" t="s">
        <v>29</v>
      </c>
      <c r="EJ14" s="20" t="n">
        <v>0.525694444444445</v>
      </c>
      <c r="EK14" s="20" t="n">
        <v>0.534722222222222</v>
      </c>
      <c r="EL14" s="1" t="str">
        <f aca="false">"[""" &amp; EI14 &amp; """, """ &amp; IF(EJ14="","",TEXT(EJ14,"h:mm")) &amp; """, """ &amp; IF(EK14="","",TEXT(EK14,"h:mm")) &amp; """],"</f>
        <v>["別府", "12:37", "12:50"],</v>
      </c>
      <c r="EM14" s="18" t="n">
        <f aca="false">IF(AND(LEN(EJ14)&lt;&gt;0,LEN(EK14)&lt;&gt;0),((HOUR(EK14)*60)+MINUTE(EK14))-((HOUR(EJ14)*60)+MINUTE(EJ14)),"")</f>
        <v>13</v>
      </c>
      <c r="EN14" s="20" t="s">
        <v>29</v>
      </c>
      <c r="EO14" s="20" t="n">
        <v>0.525694444444445</v>
      </c>
      <c r="EP14" s="20" t="n">
        <v>0.534722222222222</v>
      </c>
      <c r="EQ14" s="1" t="str">
        <f aca="false">"[""" &amp; EN14 &amp; """, """ &amp; IF(EO14="","",TEXT(EO14,"h:mm")) &amp; """, """ &amp; IF(EP14="","",TEXT(EP14,"h:mm")) &amp; """],"</f>
        <v>["別府", "12:37", "12:50"],</v>
      </c>
      <c r="ER14" s="18" t="n">
        <f aca="false">IF(AND(LEN(EO14)&lt;&gt;0,LEN(EP14)&lt;&gt;0),((HOUR(EP14)*60)+MINUTE(EP14))-((HOUR(EO14)*60)+MINUTE(EO14)),"")</f>
        <v>13</v>
      </c>
    </row>
    <row r="15" customFormat="false" ht="18" hidden="false" customHeight="false" outlineLevel="0" collapsed="false">
      <c r="E15" s="18"/>
      <c r="J15" s="18"/>
      <c r="O15" s="18"/>
      <c r="T15" s="18"/>
      <c r="Y15" s="18"/>
      <c r="AD15" s="18"/>
      <c r="AI15" s="18"/>
      <c r="AN15" s="18"/>
      <c r="AS15" s="18" t="str">
        <f aca="false">IF(AND(LEN(AP15)&lt;&gt;0,LEN(AQ15)&lt;&gt;0),((HOUR(AQ15)*60)+MINUTE(AQ15))-((HOUR(AP15)*60)+MINUTE(AP15)),"")</f>
        <v/>
      </c>
      <c r="AX15" s="18" t="str">
        <f aca="false">IF(AND(LEN(AU15)&lt;&gt;0,LEN(AV15)&lt;&gt;0),((HOUR(AV15)*60)+MINUTE(AV15))-((HOUR(AU15)*60)+MINUTE(AU15)),"")</f>
        <v/>
      </c>
      <c r="AY15" s="26"/>
      <c r="BD15" s="18" t="str">
        <f aca="false">IF(AND(LEN(BA15)&lt;&gt;0,LEN(BB15)&lt;&gt;0),((HOUR(BB15)*60)+MINUTE(BB15))-((HOUR(BA15)*60)+MINUTE(BA15)),"")</f>
        <v/>
      </c>
      <c r="BI15" s="18" t="str">
        <f aca="false">IF(AND(LEN(BF15)&lt;&gt;0,LEN(BG15)&lt;&gt;0),((HOUR(BG15)*60)+MINUTE(BG15))-((HOUR(BF15)*60)+MINUTE(BF15)),"")</f>
        <v/>
      </c>
      <c r="BM15" s="1" t="s">
        <v>33</v>
      </c>
      <c r="BN15" s="18" t="str">
        <f aca="false">IF(AND(LEN(BK15)&lt;&gt;0,LEN(BL15)&lt;&gt;0),((HOUR(BL15)*60)+MINUTE(BL15))-((HOUR(BK15)*60)+MINUTE(BK15)),"")</f>
        <v/>
      </c>
      <c r="BS15" s="18" t="str">
        <f aca="false">IF(AND(LEN(BP15)&lt;&gt;0,LEN(BQ15)&lt;&gt;0),((HOUR(BQ15)*60)+MINUTE(BQ15))-((HOUR(BP15)*60)+MINUTE(BP15)),"")</f>
        <v/>
      </c>
      <c r="BX15" s="18" t="str">
        <f aca="false">IF(AND(LEN(BU15)&lt;&gt;0,LEN(BV15)&lt;&gt;0),((HOUR(BV15)*60)+MINUTE(BV15))-((HOUR(BU15)*60)+MINUTE(BU15)),"")</f>
        <v/>
      </c>
      <c r="BZ15" s="27"/>
      <c r="CA15" s="27"/>
      <c r="CB15" s="27"/>
      <c r="CD15" s="18" t="str">
        <f aca="false">IF(AND(LEN(CA15)&lt;&gt;0,LEN(CB15)&lt;&gt;0),((HOUR(CB15)*60)+MINUTE(CB15))-((HOUR(CA15)*60)+MINUTE(CA15)),"")</f>
        <v/>
      </c>
      <c r="CI15" s="18" t="str">
        <f aca="false">IF(AND(LEN(CF15)&lt;&gt;0,LEN(CG15)&lt;&gt;0),((HOUR(CG15)*60)+MINUTE(CG15))-((HOUR(CF15)*60)+MINUTE(CF15)),"")</f>
        <v/>
      </c>
      <c r="CJ15" s="19" t="s">
        <v>30</v>
      </c>
      <c r="CK15" s="19" t="n">
        <v>0.532638888888889</v>
      </c>
      <c r="CL15" s="19" t="n">
        <v>0.538194444444444</v>
      </c>
      <c r="CM15" s="1" t="str">
        <f aca="false">"[""" &amp; CJ15 &amp; """, """ &amp; IF(CK15="","",TEXT(CK15,"h:mm")) &amp; """, """ &amp; IF(CL15="","",TEXT(CL15,"h:mm")) &amp; """],"</f>
        <v>["菱浦", "12:47", "12:55"],</v>
      </c>
      <c r="CN15" s="18" t="n">
        <f aca="false">IF(AND(LEN(CK15)&lt;&gt;0,LEN(CL15)&lt;&gt;0),((HOUR(CL15)*60)+MINUTE(CL15))-((HOUR(CK15)*60)+MINUTE(CK15)),"")</f>
        <v>8</v>
      </c>
      <c r="CO15" s="19" t="s">
        <v>30</v>
      </c>
      <c r="CP15" s="19" t="n">
        <v>0.532638888888889</v>
      </c>
      <c r="CQ15" s="19" t="n">
        <v>0.538194444444444</v>
      </c>
      <c r="CR15" s="1" t="str">
        <f aca="false">"[""" &amp; CO15 &amp; """, """ &amp; IF(CP15="","",TEXT(CP15,"h:mm")) &amp; """, """ &amp; IF(CQ15="","",TEXT(CQ15,"h:mm")) &amp; """],"</f>
        <v>["菱浦", "12:47", "12:55"],</v>
      </c>
      <c r="CS15" s="18" t="n">
        <f aca="false">IF(AND(LEN(CP15)&lt;&gt;0,LEN(CQ15)&lt;&gt;0),((HOUR(CQ15)*60)+MINUTE(CQ15))-((HOUR(CP15)*60)+MINUTE(CP15)),"")</f>
        <v>8</v>
      </c>
      <c r="CT15" s="28"/>
      <c r="CU15" s="19" t="s">
        <v>30</v>
      </c>
      <c r="CV15" s="19" t="n">
        <v>0.557638888888889</v>
      </c>
      <c r="CW15" s="19" t="n">
        <v>0.559027777777778</v>
      </c>
      <c r="CX15" s="1" t="str">
        <f aca="false">"[""" &amp; CU15 &amp; """, """ &amp; IF(CV15="","",TEXT(CV15,"h:mm")) &amp; """, """ &amp; IF(CW15="","",TEXT(CW15,"h:mm")) &amp; """],"</f>
        <v>["菱浦", "13:23", "13:25"],</v>
      </c>
      <c r="CY15" s="18" t="n">
        <f aca="false">IF(AND(LEN(CV15)&lt;&gt;0,LEN(CW15)&lt;&gt;0),((HOUR(CW15)*60)+MINUTE(CW15))-((HOUR(CV15)*60)+MINUTE(CV15)),"")</f>
        <v>2</v>
      </c>
      <c r="CZ15" s="19" t="s">
        <v>30</v>
      </c>
      <c r="DA15" s="19" t="n">
        <v>0.422916666666667</v>
      </c>
      <c r="DB15" s="19" t="n">
        <v>0.424305555555556</v>
      </c>
      <c r="DC15" s="1" t="str">
        <f aca="false">"[""" &amp; CZ15 &amp; """, """ &amp; IF(DA15="","",TEXT(DA15,"h:mm")) &amp; """, """ &amp; IF(DB15="","",TEXT(DB15,"h:mm")) &amp; """],"</f>
        <v>["菱浦", "10:09", "10:11"],</v>
      </c>
      <c r="DD15" s="18" t="n">
        <f aca="false">IF(AND(LEN(DA15)&lt;&gt;0,LEN(DB15)&lt;&gt;0),((HOUR(DB15)*60)+MINUTE(DB15))-((HOUR(DA15)*60)+MINUTE(DA15)),"")</f>
        <v>2</v>
      </c>
      <c r="DE15" s="19" t="s">
        <v>30</v>
      </c>
      <c r="DF15" s="19" t="n">
        <v>0.422916666666667</v>
      </c>
      <c r="DG15" s="19" t="n">
        <v>0.424305555555556</v>
      </c>
      <c r="DH15" s="1" t="str">
        <f aca="false">"[""" &amp; DE15 &amp; """, """ &amp; IF(DF15="","",TEXT(DF15,"h:mm")) &amp; """, """ &amp; IF(DG15="","",TEXT(DG15,"h:mm")) &amp; """],"</f>
        <v>["菱浦", "10:09", "10:11"],</v>
      </c>
      <c r="DI15" s="18" t="n">
        <f aca="false">IF(AND(LEN(DF15)&lt;&gt;0,LEN(DG15)&lt;&gt;0),((HOUR(DG15)*60)+MINUTE(DG15))-((HOUR(DF15)*60)+MINUTE(DF15)),"")</f>
        <v>2</v>
      </c>
      <c r="DJ15" s="19" t="s">
        <v>30</v>
      </c>
      <c r="DK15" s="19" t="n">
        <v>0.422916666666667</v>
      </c>
      <c r="DL15" s="19" t="n">
        <v>0.424305555555556</v>
      </c>
      <c r="DM15" s="1" t="str">
        <f aca="false">"[""" &amp; DJ15 &amp; """, """ &amp; IF(DK15="","",TEXT(DK15,"h:mm")) &amp; """, """ &amp; IF(DL15="","",TEXT(DL15,"h:mm")) &amp; """],"</f>
        <v>["菱浦", "10:09", "10:11"],</v>
      </c>
      <c r="DN15" s="18" t="n">
        <f aca="false">IF(AND(LEN(DK15)&lt;&gt;0,LEN(DL15)&lt;&gt;0),((HOUR(DL15)*60)+MINUTE(DL15))-((HOUR(DK15)*60)+MINUTE(DK15)),"")</f>
        <v>2</v>
      </c>
      <c r="DO15" s="19" t="s">
        <v>30</v>
      </c>
      <c r="DP15" s="19" t="n">
        <v>0.422916666666667</v>
      </c>
      <c r="DQ15" s="19" t="n">
        <v>0.424305555555556</v>
      </c>
      <c r="DR15" s="1" t="str">
        <f aca="false">"[""" &amp; DO15 &amp; """, """ &amp; IF(DP15="","",TEXT(DP15,"h:mm")) &amp; """, """ &amp; IF(DQ15="","",TEXT(DQ15,"h:mm")) &amp; """],"</f>
        <v>["菱浦", "10:09", "10:11"],</v>
      </c>
      <c r="DS15" s="18" t="n">
        <f aca="false">IF(AND(LEN(DP15)&lt;&gt;0,LEN(DQ15)&lt;&gt;0),((HOUR(DQ15)*60)+MINUTE(DQ15))-((HOUR(DP15)*60)+MINUTE(DP15)),"")</f>
        <v>2</v>
      </c>
      <c r="DT15" s="20" t="s">
        <v>29</v>
      </c>
      <c r="DU15" s="20" t="n">
        <v>0.761805555555556</v>
      </c>
      <c r="DW15" s="1" t="str">
        <f aca="false">"[""" &amp; DT15 &amp; """, """ &amp; IF(DU15="","",TEXT(DU15,"h:mm")) &amp; """, """ &amp; IF(DV15="","",TEXT(DV15,"h:mm")) &amp; """]"</f>
        <v>["別府", "18:17", ""]</v>
      </c>
      <c r="DX15" s="18" t="str">
        <f aca="false">IF(AND(LEN(DU15)&lt;&gt;0,LEN(DV15)&lt;&gt;0),((HOUR(DV15)*60)+MINUTE(DV15))-((HOUR(DU15)*60)+MINUTE(DU15)),"")</f>
        <v/>
      </c>
      <c r="DY15" s="19" t="s">
        <v>30</v>
      </c>
      <c r="DZ15" s="19" t="n">
        <v>0.540277777777778</v>
      </c>
      <c r="EA15" s="19" t="n">
        <v>0.55625</v>
      </c>
      <c r="EB15" s="1" t="str">
        <f aca="false">"[""" &amp; DY15 &amp; """, """ &amp; IF(DZ15="","",TEXT(DZ15,"h:mm")) &amp; """, """ &amp; IF(EA15="","",TEXT(EA15,"h:mm")) &amp; """],"</f>
        <v>["菱浦", "12:58", "13:21"],</v>
      </c>
      <c r="EC15" s="18" t="n">
        <f aca="false">IF(AND(LEN(DZ15)&lt;&gt;0,LEN(EA15)&lt;&gt;0),((HOUR(EA15)*60)+MINUTE(EA15))-((HOUR(DZ15)*60)+MINUTE(DZ15)),"")</f>
        <v>23</v>
      </c>
      <c r="ED15" s="19" t="s">
        <v>30</v>
      </c>
      <c r="EE15" s="19" t="n">
        <v>0.540277777777778</v>
      </c>
      <c r="EF15" s="19" t="n">
        <v>0.55625</v>
      </c>
      <c r="EG15" s="1" t="str">
        <f aca="false">"[""" &amp; ED15 &amp; """, """ &amp; IF(EE15="","",TEXT(EE15,"h:mm")) &amp; """, """ &amp; IF(EF15="","",TEXT(EF15,"h:mm")) &amp; """],"</f>
        <v>["菱浦", "12:58", "13:21"],</v>
      </c>
      <c r="EH15" s="18" t="n">
        <f aca="false">IF(AND(LEN(EE15)&lt;&gt;0,LEN(EF15)&lt;&gt;0),((HOUR(EF15)*60)+MINUTE(EF15))-((HOUR(EE15)*60)+MINUTE(EE15)),"")</f>
        <v>23</v>
      </c>
      <c r="EI15" s="19" t="s">
        <v>30</v>
      </c>
      <c r="EJ15" s="19" t="n">
        <v>0.540277777777778</v>
      </c>
      <c r="EK15" s="19" t="n">
        <v>0.55625</v>
      </c>
      <c r="EL15" s="1" t="str">
        <f aca="false">"[""" &amp; EI15 &amp; """, """ &amp; IF(EJ15="","",TEXT(EJ15,"h:mm")) &amp; """, """ &amp; IF(EK15="","",TEXT(EK15,"h:mm")) &amp; """],"</f>
        <v>["菱浦", "12:58", "13:21"],</v>
      </c>
      <c r="EM15" s="18" t="n">
        <f aca="false">IF(AND(LEN(EJ15)&lt;&gt;0,LEN(EK15)&lt;&gt;0),((HOUR(EK15)*60)+MINUTE(EK15))-((HOUR(EJ15)*60)+MINUTE(EJ15)),"")</f>
        <v>23</v>
      </c>
      <c r="EN15" s="19" t="s">
        <v>30</v>
      </c>
      <c r="EO15" s="19" t="n">
        <v>0.540277777777778</v>
      </c>
      <c r="EP15" s="19" t="n">
        <v>0.55625</v>
      </c>
      <c r="EQ15" s="1" t="str">
        <f aca="false">"[""" &amp; EN15 &amp; """, """ &amp; IF(EO15="","",TEXT(EO15,"h:mm")) &amp; """, """ &amp; IF(EP15="","",TEXT(EP15,"h:mm")) &amp; """],"</f>
        <v>["菱浦", "12:58", "13:21"],</v>
      </c>
      <c r="ER15" s="18" t="n">
        <f aca="false">IF(AND(LEN(EO15)&lt;&gt;0,LEN(EP15)&lt;&gt;0),((HOUR(EP15)*60)+MINUTE(EP15))-((HOUR(EO15)*60)+MINUTE(EO15)),"")</f>
        <v>23</v>
      </c>
    </row>
    <row r="16" customFormat="false" ht="18" hidden="false" customHeight="false" outlineLevel="0" collapsed="false">
      <c r="E16" s="18"/>
      <c r="J16" s="18"/>
      <c r="O16" s="18"/>
      <c r="T16" s="18"/>
      <c r="Y16" s="18"/>
      <c r="AD16" s="18"/>
      <c r="AI16" s="18"/>
      <c r="AN16" s="18"/>
      <c r="AS16" s="18" t="str">
        <f aca="false">IF(AND(LEN(AP16)&lt;&gt;0,LEN(AQ16)&lt;&gt;0),((HOUR(AQ16)*60)+MINUTE(AQ16))-((HOUR(AP16)*60)+MINUTE(AP16)),"")</f>
        <v/>
      </c>
      <c r="AX16" s="18" t="str">
        <f aca="false">IF(AND(LEN(AU16)&lt;&gt;0,LEN(AV16)&lt;&gt;0),((HOUR(AV16)*60)+MINUTE(AV16))-((HOUR(AU16)*60)+MINUTE(AU16)),"")</f>
        <v/>
      </c>
      <c r="AY16" s="26"/>
      <c r="BD16" s="18" t="str">
        <f aca="false">IF(AND(LEN(BA16)&lt;&gt;0,LEN(BB16)&lt;&gt;0),((HOUR(BB16)*60)+MINUTE(BB16))-((HOUR(BA16)*60)+MINUTE(BA16)),"")</f>
        <v/>
      </c>
      <c r="BI16" s="18" t="str">
        <f aca="false">IF(AND(LEN(BF16)&lt;&gt;0,LEN(BG16)&lt;&gt;0),((HOUR(BG16)*60)+MINUTE(BG16))-((HOUR(BF16)*60)+MINUTE(BF16)),"")</f>
        <v/>
      </c>
      <c r="BN16" s="18" t="str">
        <f aca="false">IF(AND(LEN(BK16)&lt;&gt;0,LEN(BL16)&lt;&gt;0),((HOUR(BL16)*60)+MINUTE(BL16))-((HOUR(BK16)*60)+MINUTE(BK16)),"")</f>
        <v/>
      </c>
      <c r="BS16" s="18" t="str">
        <f aca="false">IF(AND(LEN(BP16)&lt;&gt;0,LEN(BQ16)&lt;&gt;0),((HOUR(BQ16)*60)+MINUTE(BQ16))-((HOUR(BP16)*60)+MINUTE(BP16)),"")</f>
        <v/>
      </c>
      <c r="BX16" s="18" t="str">
        <f aca="false">IF(AND(LEN(BU16)&lt;&gt;0,LEN(BV16)&lt;&gt;0),((HOUR(BV16)*60)+MINUTE(BV16))-((HOUR(BU16)*60)+MINUTE(BU16)),"")</f>
        <v/>
      </c>
      <c r="BZ16" s="27"/>
      <c r="CA16" s="27"/>
      <c r="CB16" s="27"/>
      <c r="CD16" s="18" t="str">
        <f aca="false">IF(AND(LEN(CA16)&lt;&gt;0,LEN(CB16)&lt;&gt;0),((HOUR(CB16)*60)+MINUTE(CB16))-((HOUR(CA16)*60)+MINUTE(CA16)),"")</f>
        <v/>
      </c>
      <c r="CI16" s="18" t="str">
        <f aca="false">IF(AND(LEN(CF16)&lt;&gt;0,LEN(CG16)&lt;&gt;0),((HOUR(CG16)*60)+MINUTE(CG16))-((HOUR(CF16)*60)+MINUTE(CF16)),"")</f>
        <v/>
      </c>
      <c r="CJ16" s="20" t="s">
        <v>29</v>
      </c>
      <c r="CK16" s="20" t="n">
        <v>0.548611111111111</v>
      </c>
      <c r="CL16" s="20" t="n">
        <v>0.552083333333333</v>
      </c>
      <c r="CM16" s="1" t="str">
        <f aca="false">"[""" &amp; CJ16 &amp; """, """ &amp; IF(CK16="","",TEXT(CK16,"h:mm")) &amp; """, """ &amp; IF(CL16="","",TEXT(CL16,"h:mm")) &amp; """],"</f>
        <v>["別府", "13:10", "13:15"],</v>
      </c>
      <c r="CN16" s="18" t="n">
        <f aca="false">IF(AND(LEN(CK16)&lt;&gt;0,LEN(CL16)&lt;&gt;0),((HOUR(CL16)*60)+MINUTE(CL16))-((HOUR(CK16)*60)+MINUTE(CK16)),"")</f>
        <v>5</v>
      </c>
      <c r="CO16" s="20" t="s">
        <v>29</v>
      </c>
      <c r="CP16" s="20" t="n">
        <v>0.548611111111111</v>
      </c>
      <c r="CQ16" s="20" t="n">
        <v>0.555555555555556</v>
      </c>
      <c r="CR16" s="1" t="str">
        <f aca="false">"[""" &amp; CO16 &amp; """, """ &amp; IF(CP16="","",TEXT(CP16,"h:mm")) &amp; """, """ &amp; IF(CQ16="","",TEXT(CQ16,"h:mm")) &amp; """],"</f>
        <v>["別府", "13:10", "13:20"],</v>
      </c>
      <c r="CS16" s="18" t="n">
        <f aca="false">IF(AND(LEN(CP16)&lt;&gt;0,LEN(CQ16)&lt;&gt;0),((HOUR(CQ16)*60)+MINUTE(CQ16))-((HOUR(CP16)*60)+MINUTE(CP16)),"")</f>
        <v>10</v>
      </c>
      <c r="CT16" s="28"/>
      <c r="CU16" s="20" t="s">
        <v>29</v>
      </c>
      <c r="CV16" s="20" t="n">
        <v>0.564583333333333</v>
      </c>
      <c r="CW16" s="20" t="n">
        <v>0.572916666666667</v>
      </c>
      <c r="CX16" s="1" t="str">
        <f aca="false">"[""" &amp; CU16 &amp; """, """ &amp; IF(CV16="","",TEXT(CV16,"h:mm")) &amp; """, """ &amp; IF(CW16="","",TEXT(CW16,"h:mm")) &amp; """],"</f>
        <v>["別府", "13:33", "13:45"],</v>
      </c>
      <c r="CY16" s="18" t="n">
        <f aca="false">IF(AND(LEN(CV16)&lt;&gt;0,LEN(CW16)&lt;&gt;0),((HOUR(CW16)*60)+MINUTE(CW16))-((HOUR(CV16)*60)+MINUTE(CV16)),"")</f>
        <v>12</v>
      </c>
      <c r="CZ16" s="21" t="s">
        <v>31</v>
      </c>
      <c r="DA16" s="22" t="n">
        <v>0.436805555555556</v>
      </c>
      <c r="DB16" s="22" t="n">
        <v>0.438194444444445</v>
      </c>
      <c r="DC16" s="1" t="str">
        <f aca="false">"[""" &amp; CZ16 &amp; """, """ &amp; IF(DA16="","",TEXT(DA16,"h:mm")) &amp; """, """ &amp; IF(DB16="","",TEXT(DB16,"h:mm")) &amp; """],"</f>
        <v>["来居", "10:29", "10:31"],</v>
      </c>
      <c r="DD16" s="18" t="n">
        <f aca="false">IF(AND(LEN(DA16)&lt;&gt;0,LEN(DB16)&lt;&gt;0),((HOUR(DB16)*60)+MINUTE(DB16))-((HOUR(DA16)*60)+MINUTE(DA16)),"")</f>
        <v>2</v>
      </c>
      <c r="DE16" s="21" t="s">
        <v>31</v>
      </c>
      <c r="DF16" s="22" t="n">
        <v>0.436805555555556</v>
      </c>
      <c r="DG16" s="22" t="n">
        <v>0.438194444444445</v>
      </c>
      <c r="DH16" s="1" t="str">
        <f aca="false">"[""" &amp; DE16 &amp; """, """ &amp; IF(DF16="","",TEXT(DF16,"h:mm")) &amp; """, """ &amp; IF(DG16="","",TEXT(DG16,"h:mm")) &amp; """],"</f>
        <v>["来居", "10:29", "10:31"],</v>
      </c>
      <c r="DI16" s="18" t="n">
        <f aca="false">IF(AND(LEN(DF16)&lt;&gt;0,LEN(DG16)&lt;&gt;0),((HOUR(DG16)*60)+MINUTE(DG16))-((HOUR(DF16)*60)+MINUTE(DF16)),"")</f>
        <v>2</v>
      </c>
      <c r="DJ16" s="21" t="s">
        <v>31</v>
      </c>
      <c r="DK16" s="22" t="n">
        <v>0.436805555555556</v>
      </c>
      <c r="DL16" s="22" t="n">
        <v>0.438194444444445</v>
      </c>
      <c r="DM16" s="1" t="str">
        <f aca="false">"[""" &amp; DJ16 &amp; """, """ &amp; IF(DK16="","",TEXT(DK16,"h:mm")) &amp; """, """ &amp; IF(DL16="","",TEXT(DL16,"h:mm")) &amp; """],"</f>
        <v>["来居", "10:29", "10:31"],</v>
      </c>
      <c r="DN16" s="18" t="n">
        <f aca="false">IF(AND(LEN(DK16)&lt;&gt;0,LEN(DL16)&lt;&gt;0),((HOUR(DL16)*60)+MINUTE(DL16))-((HOUR(DK16)*60)+MINUTE(DK16)),"")</f>
        <v>2</v>
      </c>
      <c r="DO16" s="21" t="s">
        <v>31</v>
      </c>
      <c r="DP16" s="22" t="n">
        <v>0.436805555555556</v>
      </c>
      <c r="DQ16" s="22" t="n">
        <v>0.438194444444445</v>
      </c>
      <c r="DR16" s="1" t="str">
        <f aca="false">"[""" &amp; DO16 &amp; """, """ &amp; IF(DP16="","",TEXT(DP16,"h:mm")) &amp; """, """ &amp; IF(DQ16="","",TEXT(DQ16,"h:mm")) &amp; """],"</f>
        <v>["来居", "10:29", "10:31"],</v>
      </c>
      <c r="DS16" s="18" t="n">
        <f aca="false">IF(AND(LEN(DP16)&lt;&gt;0,LEN(DQ16)&lt;&gt;0),((HOUR(DQ16)*60)+MINUTE(DQ16))-((HOUR(DP16)*60)+MINUTE(DP16)),"")</f>
        <v>2</v>
      </c>
      <c r="DW16" s="1" t="s">
        <v>33</v>
      </c>
      <c r="DX16" s="18" t="str">
        <f aca="false">IF(AND(LEN(DU16)&lt;&gt;0,LEN(DV16)&lt;&gt;0),((HOUR(DV16)*60)+MINUTE(DV16))-((HOUR(DU16)*60)+MINUTE(DU16)),"")</f>
        <v/>
      </c>
      <c r="DY16" s="20" t="s">
        <v>29</v>
      </c>
      <c r="DZ16" s="20" t="n">
        <v>0.561111111111111</v>
      </c>
      <c r="EA16" s="20" t="n">
        <v>0.590277777777778</v>
      </c>
      <c r="EB16" s="1" t="str">
        <f aca="false">"[""" &amp; DY16 &amp; """, """ &amp; IF(DZ16="","",TEXT(DZ16,"h:mm")) &amp; """, """ &amp; IF(EA16="","",TEXT(EA16,"h:mm")) &amp; """],"</f>
        <v>["別府", "13:28", "14:10"],</v>
      </c>
      <c r="EC16" s="18" t="n">
        <f aca="false">IF(AND(LEN(DZ16)&lt;&gt;0,LEN(EA16)&lt;&gt;0),((HOUR(EA16)*60)+MINUTE(EA16))-((HOUR(DZ16)*60)+MINUTE(DZ16)),"")</f>
        <v>42</v>
      </c>
      <c r="ED16" s="20" t="s">
        <v>29</v>
      </c>
      <c r="EE16" s="20" t="n">
        <v>0.561111111111111</v>
      </c>
      <c r="EF16" s="20" t="n">
        <v>0.590277777777778</v>
      </c>
      <c r="EG16" s="1" t="str">
        <f aca="false">"[""" &amp; ED16 &amp; """, """ &amp; IF(EE16="","",TEXT(EE16,"h:mm")) &amp; """, """ &amp; IF(EF16="","",TEXT(EF16,"h:mm")) &amp; """],"</f>
        <v>["別府", "13:28", "14:10"],</v>
      </c>
      <c r="EH16" s="18" t="n">
        <f aca="false">IF(AND(LEN(EE16)&lt;&gt;0,LEN(EF16)&lt;&gt;0),((HOUR(EF16)*60)+MINUTE(EF16))-((HOUR(EE16)*60)+MINUTE(EE16)),"")</f>
        <v>42</v>
      </c>
      <c r="EI16" s="20" t="s">
        <v>29</v>
      </c>
      <c r="EJ16" s="20" t="n">
        <v>0.561111111111111</v>
      </c>
      <c r="EK16" s="20" t="n">
        <v>0.590277777777778</v>
      </c>
      <c r="EL16" s="1" t="str">
        <f aca="false">"[""" &amp; EI16 &amp; """, """ &amp; IF(EJ16="","",TEXT(EJ16,"h:mm")) &amp; """, """ &amp; IF(EK16="","",TEXT(EK16,"h:mm")) &amp; """],"</f>
        <v>["別府", "13:28", "14:10"],</v>
      </c>
      <c r="EM16" s="18" t="n">
        <f aca="false">IF(AND(LEN(EJ16)&lt;&gt;0,LEN(EK16)&lt;&gt;0),((HOUR(EK16)*60)+MINUTE(EK16))-((HOUR(EJ16)*60)+MINUTE(EJ16)),"")</f>
        <v>42</v>
      </c>
      <c r="EN16" s="20" t="s">
        <v>29</v>
      </c>
      <c r="EO16" s="20" t="n">
        <v>0.561111111111111</v>
      </c>
      <c r="EP16" s="20" t="n">
        <v>0.590277777777778</v>
      </c>
      <c r="EQ16" s="1" t="str">
        <f aca="false">"[""" &amp; EN16 &amp; """, """ &amp; IF(EO16="","",TEXT(EO16,"h:mm")) &amp; """, """ &amp; IF(EP16="","",TEXT(EP16,"h:mm")) &amp; """],"</f>
        <v>["別府", "13:28", "14:10"],</v>
      </c>
      <c r="ER16" s="18" t="n">
        <f aca="false">IF(AND(LEN(EO16)&lt;&gt;0,LEN(EP16)&lt;&gt;0),((HOUR(EP16)*60)+MINUTE(EP16))-((HOUR(EO16)*60)+MINUTE(EO16)),"")</f>
        <v>42</v>
      </c>
    </row>
    <row r="17" customFormat="false" ht="18" hidden="false" customHeight="false" outlineLevel="0" collapsed="false">
      <c r="E17" s="18"/>
      <c r="J17" s="18"/>
      <c r="O17" s="18"/>
      <c r="T17" s="18"/>
      <c r="Y17" s="18"/>
      <c r="AD17" s="18"/>
      <c r="AI17" s="18"/>
      <c r="AN17" s="18"/>
      <c r="AS17" s="18" t="str">
        <f aca="false">IF(AND(LEN(AP17)&lt;&gt;0,LEN(AQ17)&lt;&gt;0),((HOUR(AQ17)*60)+MINUTE(AQ17))-((HOUR(AP17)*60)+MINUTE(AP17)),"")</f>
        <v/>
      </c>
      <c r="AX17" s="18" t="str">
        <f aca="false">IF(AND(LEN(AU17)&lt;&gt;0,LEN(AV17)&lt;&gt;0),((HOUR(AV17)*60)+MINUTE(AV17))-((HOUR(AU17)*60)+MINUTE(AU17)),"")</f>
        <v/>
      </c>
      <c r="AY17" s="26"/>
      <c r="BD17" s="18" t="str">
        <f aca="false">IF(AND(LEN(BA17)&lt;&gt;0,LEN(BB17)&lt;&gt;0),((HOUR(BB17)*60)+MINUTE(BB17))-((HOUR(BA17)*60)+MINUTE(BA17)),"")</f>
        <v/>
      </c>
      <c r="BI17" s="18" t="str">
        <f aca="false">IF(AND(LEN(BF17)&lt;&gt;0,LEN(BG17)&lt;&gt;0),((HOUR(BG17)*60)+MINUTE(BG17))-((HOUR(BF17)*60)+MINUTE(BF17)),"")</f>
        <v/>
      </c>
      <c r="BN17" s="18" t="str">
        <f aca="false">IF(AND(LEN(BK17)&lt;&gt;0,LEN(BL17)&lt;&gt;0),((HOUR(BL17)*60)+MINUTE(BL17))-((HOUR(BK17)*60)+MINUTE(BK17)),"")</f>
        <v/>
      </c>
      <c r="BS17" s="18" t="str">
        <f aca="false">IF(AND(LEN(BP17)&lt;&gt;0,LEN(BQ17)&lt;&gt;0),((HOUR(BQ17)*60)+MINUTE(BQ17))-((HOUR(BP17)*60)+MINUTE(BP17)),"")</f>
        <v/>
      </c>
      <c r="BX17" s="18" t="str">
        <f aca="false">IF(AND(LEN(BU17)&lt;&gt;0,LEN(BV17)&lt;&gt;0),((HOUR(BV17)*60)+MINUTE(BV17))-((HOUR(BU17)*60)+MINUTE(BU17)),"")</f>
        <v/>
      </c>
      <c r="BZ17" s="27"/>
      <c r="CA17" s="27"/>
      <c r="CB17" s="27"/>
      <c r="CD17" s="18" t="str">
        <f aca="false">IF(AND(LEN(CA17)&lt;&gt;0,LEN(CB17)&lt;&gt;0),((HOUR(CB17)*60)+MINUTE(CB17))-((HOUR(CA17)*60)+MINUTE(CA17)),"")</f>
        <v/>
      </c>
      <c r="CI17" s="18" t="str">
        <f aca="false">IF(AND(LEN(CF17)&lt;&gt;0,LEN(CG17)&lt;&gt;0),((HOUR(CG17)*60)+MINUTE(CG17))-((HOUR(CF17)*60)+MINUTE(CF17)),"")</f>
        <v/>
      </c>
      <c r="CJ17" s="19" t="s">
        <v>30</v>
      </c>
      <c r="CK17" s="19" t="n">
        <v>0.560416666666667</v>
      </c>
      <c r="CL17" s="19" t="n">
        <v>0.583333333333333</v>
      </c>
      <c r="CM17" s="1" t="str">
        <f aca="false">"[""" &amp; CJ17 &amp; """, """ &amp; IF(CK17="","",TEXT(CK17,"h:mm")) &amp; """, """ &amp; IF(CL17="","",TEXT(CL17,"h:mm")) &amp; """],"</f>
        <v>["菱浦", "13:27", "14:00"],</v>
      </c>
      <c r="CN17" s="18" t="n">
        <f aca="false">IF(AND(LEN(CK17)&lt;&gt;0,LEN(CL17)&lt;&gt;0),((HOUR(CL17)*60)+MINUTE(CL17))-((HOUR(CK17)*60)+MINUTE(CK17)),"")</f>
        <v>33</v>
      </c>
      <c r="CO17" s="19" t="s">
        <v>30</v>
      </c>
      <c r="CP17" s="19" t="n">
        <v>0.563888888888889</v>
      </c>
      <c r="CQ17" s="19" t="n">
        <v>0.583333333333333</v>
      </c>
      <c r="CR17" s="1" t="str">
        <f aca="false">"[""" &amp; CO17 &amp; """, """ &amp; IF(CP17="","",TEXT(CP17,"h:mm")) &amp; """, """ &amp; IF(CQ17="","",TEXT(CQ17,"h:mm")) &amp; """],"</f>
        <v>["菱浦", "13:32", "14:00"],</v>
      </c>
      <c r="CS17" s="18" t="n">
        <f aca="false">IF(AND(LEN(CP17)&lt;&gt;0,LEN(CQ17)&lt;&gt;0),((HOUR(CQ17)*60)+MINUTE(CQ17))-((HOUR(CP17)*60)+MINUTE(CP17)),"")</f>
        <v>28</v>
      </c>
      <c r="CT17" s="28"/>
      <c r="CU17" s="21" t="s">
        <v>31</v>
      </c>
      <c r="CV17" s="22" t="n">
        <v>0.585416666666667</v>
      </c>
      <c r="CW17" s="22" t="n">
        <v>0.625</v>
      </c>
      <c r="CX17" s="1" t="str">
        <f aca="false">"[""" &amp; CU17 &amp; """, """ &amp; IF(CV17="","",TEXT(CV17,"h:mm")) &amp; """, """ &amp; IF(CW17="","",TEXT(CW17,"h:mm")) &amp; """],"</f>
        <v>["来居", "14:03", "15:00"],</v>
      </c>
      <c r="CY17" s="18" t="n">
        <f aca="false">IF(AND(LEN(CV17)&lt;&gt;0,LEN(CW17)&lt;&gt;0),((HOUR(CW17)*60)+MINUTE(CW17))-((HOUR(CV17)*60)+MINUTE(CV17)),"")</f>
        <v>57</v>
      </c>
      <c r="CZ17" s="19" t="s">
        <v>30</v>
      </c>
      <c r="DA17" s="19" t="n">
        <v>0.450694444444444</v>
      </c>
      <c r="DB17" s="19" t="n">
        <v>0.452083333333333</v>
      </c>
      <c r="DC17" s="1" t="str">
        <f aca="false">"[""" &amp; CZ17 &amp; """, """ &amp; IF(DA17="","",TEXT(DA17,"h:mm")) &amp; """, """ &amp; IF(DB17="","",TEXT(DB17,"h:mm")) &amp; """],"</f>
        <v>["菱浦", "10:49", "10:51"],</v>
      </c>
      <c r="DD17" s="18" t="n">
        <f aca="false">IF(AND(LEN(DA17)&lt;&gt;0,LEN(DB17)&lt;&gt;0),((HOUR(DB17)*60)+MINUTE(DB17))-((HOUR(DA17)*60)+MINUTE(DA17)),"")</f>
        <v>2</v>
      </c>
      <c r="DE17" s="19" t="s">
        <v>30</v>
      </c>
      <c r="DF17" s="19" t="n">
        <v>0.450694444444444</v>
      </c>
      <c r="DG17" s="19" t="n">
        <v>0.452083333333333</v>
      </c>
      <c r="DH17" s="1" t="str">
        <f aca="false">"[""" &amp; DE17 &amp; """, """ &amp; IF(DF17="","",TEXT(DF17,"h:mm")) &amp; """, """ &amp; IF(DG17="","",TEXT(DG17,"h:mm")) &amp; """],"</f>
        <v>["菱浦", "10:49", "10:51"],</v>
      </c>
      <c r="DI17" s="18" t="n">
        <f aca="false">IF(AND(LEN(DF17)&lt;&gt;0,LEN(DG17)&lt;&gt;0),((HOUR(DG17)*60)+MINUTE(DG17))-((HOUR(DF17)*60)+MINUTE(DF17)),"")</f>
        <v>2</v>
      </c>
      <c r="DJ17" s="19" t="s">
        <v>30</v>
      </c>
      <c r="DK17" s="19" t="n">
        <v>0.450694444444444</v>
      </c>
      <c r="DL17" s="19" t="n">
        <v>0.452083333333333</v>
      </c>
      <c r="DM17" s="1" t="str">
        <f aca="false">"[""" &amp; DJ17 &amp; """, """ &amp; IF(DK17="","",TEXT(DK17,"h:mm")) &amp; """, """ &amp; IF(DL17="","",TEXT(DL17,"h:mm")) &amp; """],"</f>
        <v>["菱浦", "10:49", "10:51"],</v>
      </c>
      <c r="DN17" s="18" t="n">
        <f aca="false">IF(AND(LEN(DK17)&lt;&gt;0,LEN(DL17)&lt;&gt;0),((HOUR(DL17)*60)+MINUTE(DL17))-((HOUR(DK17)*60)+MINUTE(DK17)),"")</f>
        <v>2</v>
      </c>
      <c r="DO17" s="19" t="s">
        <v>30</v>
      </c>
      <c r="DP17" s="19" t="n">
        <v>0.450694444444444</v>
      </c>
      <c r="DQ17" s="19" t="n">
        <v>0.452083333333333</v>
      </c>
      <c r="DR17" s="1" t="str">
        <f aca="false">"[""" &amp; DO17 &amp; """, """ &amp; IF(DP17="","",TEXT(DP17,"h:mm")) &amp; """, """ &amp; IF(DQ17="","",TEXT(DQ17,"h:mm")) &amp; """],"</f>
        <v>["菱浦", "10:49", "10:51"],</v>
      </c>
      <c r="DS17" s="18" t="n">
        <f aca="false">IF(AND(LEN(DP17)&lt;&gt;0,LEN(DQ17)&lt;&gt;0),((HOUR(DQ17)*60)+MINUTE(DQ17))-((HOUR(DP17)*60)+MINUTE(DP17)),"")</f>
        <v>2</v>
      </c>
      <c r="DX17" s="18"/>
      <c r="DY17" s="19" t="s">
        <v>30</v>
      </c>
      <c r="DZ17" s="19" t="n">
        <v>0.595138888888889</v>
      </c>
      <c r="EA17" s="19" t="n">
        <v>0.600694444444444</v>
      </c>
      <c r="EB17" s="1" t="str">
        <f aca="false">"[""" &amp; DY17 &amp; """, """ &amp; IF(DZ17="","",TEXT(DZ17,"h:mm")) &amp; """, """ &amp; IF(EA17="","",TEXT(EA17,"h:mm")) &amp; """],"</f>
        <v>["菱浦", "14:17", "14:25"],</v>
      </c>
      <c r="EC17" s="18" t="n">
        <f aca="false">IF(AND(LEN(DZ17)&lt;&gt;0,LEN(EA17)&lt;&gt;0),((HOUR(EA17)*60)+MINUTE(EA17))-((HOUR(DZ17)*60)+MINUTE(DZ17)),"")</f>
        <v>8</v>
      </c>
      <c r="ED17" s="19" t="s">
        <v>30</v>
      </c>
      <c r="EE17" s="19" t="n">
        <v>0.595138888888889</v>
      </c>
      <c r="EF17" s="19" t="n">
        <v>0.596527777777778</v>
      </c>
      <c r="EG17" s="1" t="str">
        <f aca="false">"[""" &amp; ED17 &amp; """, """ &amp; IF(EE17="","",TEXT(EE17,"h:mm")) &amp; """, """ &amp; IF(EF17="","",TEXT(EF17,"h:mm")) &amp; """],"</f>
        <v>["菱浦", "14:17", "14:19"],</v>
      </c>
      <c r="EH17" s="18" t="n">
        <f aca="false">IF(AND(LEN(EE17)&lt;&gt;0,LEN(EF17)&lt;&gt;0),((HOUR(EF17)*60)+MINUTE(EF17))-((HOUR(EE17)*60)+MINUTE(EE17)),"")</f>
        <v>2</v>
      </c>
      <c r="EI17" s="19" t="s">
        <v>30</v>
      </c>
      <c r="EJ17" s="19" t="n">
        <v>0.595138888888889</v>
      </c>
      <c r="EK17" s="19" t="n">
        <v>0.600694444444444</v>
      </c>
      <c r="EL17" s="1" t="str">
        <f aca="false">"[""" &amp; EI17 &amp; """, """ &amp; IF(EJ17="","",TEXT(EJ17,"h:mm")) &amp; """, """ &amp; IF(EK17="","",TEXT(EK17,"h:mm")) &amp; """],"</f>
        <v>["菱浦", "14:17", "14:25"],</v>
      </c>
      <c r="EM17" s="18" t="n">
        <f aca="false">IF(AND(LEN(EJ17)&lt;&gt;0,LEN(EK17)&lt;&gt;0),((HOUR(EK17)*60)+MINUTE(EK17))-((HOUR(EJ17)*60)+MINUTE(EJ17)),"")</f>
        <v>8</v>
      </c>
      <c r="EN17" s="19" t="s">
        <v>30</v>
      </c>
      <c r="EO17" s="19" t="n">
        <v>0.595138888888889</v>
      </c>
      <c r="EP17" s="19" t="n">
        <v>0.596527777777778</v>
      </c>
      <c r="EQ17" s="1" t="str">
        <f aca="false">"[""" &amp; EN17 &amp; """, """ &amp; IF(EO17="","",TEXT(EO17,"h:mm")) &amp; """, """ &amp; IF(EP17="","",TEXT(EP17,"h:mm")) &amp; """],"</f>
        <v>["菱浦", "14:17", "14:19"],</v>
      </c>
      <c r="ER17" s="18" t="n">
        <f aca="false">IF(AND(LEN(EO17)&lt;&gt;0,LEN(EP17)&lt;&gt;0),((HOUR(EP17)*60)+MINUTE(EP17))-((HOUR(EO17)*60)+MINUTE(EO17)),"")</f>
        <v>2</v>
      </c>
    </row>
    <row r="18" customFormat="false" ht="18" hidden="false" customHeight="false" outlineLevel="0" collapsed="false">
      <c r="E18" s="18"/>
      <c r="J18" s="18"/>
      <c r="O18" s="18"/>
      <c r="T18" s="18"/>
      <c r="Y18" s="18"/>
      <c r="AD18" s="18"/>
      <c r="AI18" s="18"/>
      <c r="AN18" s="18"/>
      <c r="AS18" s="18" t="str">
        <f aca="false">IF(AND(LEN(AP18)&lt;&gt;0,LEN(AQ18)&lt;&gt;0),((HOUR(AQ18)*60)+MINUTE(AQ18))-((HOUR(AP18)*60)+MINUTE(AP18)),"")</f>
        <v/>
      </c>
      <c r="AX18" s="18" t="str">
        <f aca="false">IF(AND(LEN(AU18)&lt;&gt;0,LEN(AV18)&lt;&gt;0),((HOUR(AV18)*60)+MINUTE(AV18))-((HOUR(AU18)*60)+MINUTE(AU18)),"")</f>
        <v/>
      </c>
      <c r="AY18" s="26"/>
      <c r="BD18" s="18" t="str">
        <f aca="false">IF(AND(LEN(BA18)&lt;&gt;0,LEN(BB18)&lt;&gt;0),((HOUR(BB18)*60)+MINUTE(BB18))-((HOUR(BA18)*60)+MINUTE(BA18)),"")</f>
        <v/>
      </c>
      <c r="BI18" s="18" t="str">
        <f aca="false">IF(AND(LEN(BF18)&lt;&gt;0,LEN(BG18)&lt;&gt;0),((HOUR(BG18)*60)+MINUTE(BG18))-((HOUR(BF18)*60)+MINUTE(BF18)),"")</f>
        <v/>
      </c>
      <c r="BN18" s="18" t="str">
        <f aca="false">IF(AND(LEN(BK18)&lt;&gt;0,LEN(BL18)&lt;&gt;0),((HOUR(BL18)*60)+MINUTE(BL18))-((HOUR(BK18)*60)+MINUTE(BK18)),"")</f>
        <v/>
      </c>
      <c r="BS18" s="18" t="str">
        <f aca="false">IF(AND(LEN(BP18)&lt;&gt;0,LEN(BQ18)&lt;&gt;0),((HOUR(BQ18)*60)+MINUTE(BQ18))-((HOUR(BP18)*60)+MINUTE(BP18)),"")</f>
        <v/>
      </c>
      <c r="BX18" s="18" t="str">
        <f aca="false">IF(AND(LEN(BU18)&lt;&gt;0,LEN(BV18)&lt;&gt;0),((HOUR(BV18)*60)+MINUTE(BV18))-((HOUR(BU18)*60)+MINUTE(BU18)),"")</f>
        <v/>
      </c>
      <c r="BZ18" s="27"/>
      <c r="CA18" s="27"/>
      <c r="CB18" s="27"/>
      <c r="CD18" s="18" t="str">
        <f aca="false">IF(AND(LEN(CA18)&lt;&gt;0,LEN(CB18)&lt;&gt;0),((HOUR(CB18)*60)+MINUTE(CB18))-((HOUR(CA18)*60)+MINUTE(CA18)),"")</f>
        <v/>
      </c>
      <c r="CI18" s="18" t="str">
        <f aca="false">IF(AND(LEN(CF18)&lt;&gt;0,LEN(CG18)&lt;&gt;0),((HOUR(CG18)*60)+MINUTE(CG18))-((HOUR(CF18)*60)+MINUTE(CF18)),"")</f>
        <v/>
      </c>
      <c r="CJ18" s="20" t="s">
        <v>29</v>
      </c>
      <c r="CK18" s="20" t="n">
        <v>0.59375</v>
      </c>
      <c r="CL18" s="20" t="n">
        <v>0.597222222222222</v>
      </c>
      <c r="CM18" s="1" t="str">
        <f aca="false">"[""" &amp; CJ18 &amp; """, """ &amp; IF(CK18="","",TEXT(CK18,"h:mm")) &amp; """, """ &amp; IF(CL18="","",TEXT(CL18,"h:mm")) &amp; """],"</f>
        <v>["別府", "14:15", "14:20"],</v>
      </c>
      <c r="CN18" s="18" t="n">
        <f aca="false">IF(AND(LEN(CK18)&lt;&gt;0,LEN(CL18)&lt;&gt;0),((HOUR(CL18)*60)+MINUTE(CL18))-((HOUR(CK18)*60)+MINUTE(CK18)),"")</f>
        <v>5</v>
      </c>
      <c r="CO18" s="20" t="s">
        <v>29</v>
      </c>
      <c r="CP18" s="20" t="n">
        <v>0.59375</v>
      </c>
      <c r="CQ18" s="20" t="n">
        <v>0.611111111111111</v>
      </c>
      <c r="CR18" s="1" t="str">
        <f aca="false">"[""" &amp; CO18 &amp; """, """ &amp; IF(CP18="","",TEXT(CP18,"h:mm")) &amp; """, """ &amp; IF(CQ18="","",TEXT(CQ18,"h:mm")) &amp; """],"</f>
        <v>["別府", "14:15", "14:40"],</v>
      </c>
      <c r="CS18" s="18" t="n">
        <f aca="false">IF(AND(LEN(CP18)&lt;&gt;0,LEN(CQ18)&lt;&gt;0),((HOUR(CQ18)*60)+MINUTE(CQ18))-((HOUR(CP18)*60)+MINUTE(CP18)),"")</f>
        <v>25</v>
      </c>
      <c r="CT18" s="28"/>
      <c r="CU18" s="20" t="s">
        <v>29</v>
      </c>
      <c r="CV18" s="20" t="n">
        <v>0.638194444444444</v>
      </c>
      <c r="CW18" s="20" t="n">
        <v>0.71875</v>
      </c>
      <c r="CX18" s="1" t="str">
        <f aca="false">"[""" &amp; CU18 &amp; """, """ &amp; IF(CV18="","",TEXT(CV18,"h:mm")) &amp; """, """ &amp; IF(CW18="","",TEXT(CW18,"h:mm")) &amp; """],"</f>
        <v>["別府", "15:19", "17:15"],</v>
      </c>
      <c r="CY18" s="18" t="n">
        <f aca="false">IF(AND(LEN(CV18)&lt;&gt;0,LEN(CW18)&lt;&gt;0),((HOUR(CW18)*60)+MINUTE(CW18))-((HOUR(CV18)*60)+MINUTE(CV18)),"")</f>
        <v>116</v>
      </c>
      <c r="CZ18" s="20" t="s">
        <v>29</v>
      </c>
      <c r="DA18" s="20" t="n">
        <v>0.456944444444444</v>
      </c>
      <c r="DB18" s="20" t="n">
        <v>0.49375</v>
      </c>
      <c r="DC18" s="1" t="str">
        <f aca="false">"[""" &amp; CZ18 &amp; """, """ &amp; IF(DA18="","",TEXT(DA18,"h:mm")) &amp; """, """ &amp; IF(DB18="","",TEXT(DB18,"h:mm")) &amp; """],"</f>
        <v>["別府", "10:58", "11:51"],</v>
      </c>
      <c r="DD18" s="18" t="n">
        <f aca="false">IF(AND(LEN(DA18)&lt;&gt;0,LEN(DB18)&lt;&gt;0),((HOUR(DB18)*60)+MINUTE(DB18))-((HOUR(DA18)*60)+MINUTE(DA18)),"")</f>
        <v>53</v>
      </c>
      <c r="DE18" s="20" t="s">
        <v>29</v>
      </c>
      <c r="DF18" s="20" t="n">
        <v>0.456944444444444</v>
      </c>
      <c r="DG18" s="20" t="n">
        <v>0.49375</v>
      </c>
      <c r="DH18" s="1" t="str">
        <f aca="false">"[""" &amp; DE18 &amp; """, """ &amp; IF(DF18="","",TEXT(DF18,"h:mm")) &amp; """, """ &amp; IF(DG18="","",TEXT(DG18,"h:mm")) &amp; """],"</f>
        <v>["別府", "10:58", "11:51"],</v>
      </c>
      <c r="DI18" s="18" t="n">
        <f aca="false">IF(AND(LEN(DF18)&lt;&gt;0,LEN(DG18)&lt;&gt;0),((HOUR(DG18)*60)+MINUTE(DG18))-((HOUR(DF18)*60)+MINUTE(DF18)),"")</f>
        <v>53</v>
      </c>
      <c r="DJ18" s="20" t="s">
        <v>29</v>
      </c>
      <c r="DK18" s="20" t="n">
        <v>0.456944444444444</v>
      </c>
      <c r="DL18" s="20" t="n">
        <v>0.49375</v>
      </c>
      <c r="DM18" s="1" t="str">
        <f aca="false">"[""" &amp; DJ18 &amp; """, """ &amp; IF(DK18="","",TEXT(DK18,"h:mm")) &amp; """, """ &amp; IF(DL18="","",TEXT(DL18,"h:mm")) &amp; """],"</f>
        <v>["別府", "10:58", "11:51"],</v>
      </c>
      <c r="DN18" s="18" t="n">
        <f aca="false">IF(AND(LEN(DK18)&lt;&gt;0,LEN(DL18)&lt;&gt;0),((HOUR(DL18)*60)+MINUTE(DL18))-((HOUR(DK18)*60)+MINUTE(DK18)),"")</f>
        <v>53</v>
      </c>
      <c r="DO18" s="20" t="s">
        <v>29</v>
      </c>
      <c r="DP18" s="20" t="n">
        <v>0.456944444444444</v>
      </c>
      <c r="DQ18" s="20" t="n">
        <v>0.49375</v>
      </c>
      <c r="DR18" s="1" t="str">
        <f aca="false">"[""" &amp; DO18 &amp; """, """ &amp; IF(DP18="","",TEXT(DP18,"h:mm")) &amp; """, """ &amp; IF(DQ18="","",TEXT(DQ18,"h:mm")) &amp; """],"</f>
        <v>["別府", "10:58", "11:51"],</v>
      </c>
      <c r="DS18" s="18" t="n">
        <f aca="false">IF(AND(LEN(DP18)&lt;&gt;0,LEN(DQ18)&lt;&gt;0),((HOUR(DQ18)*60)+MINUTE(DQ18))-((HOUR(DP18)*60)+MINUTE(DP18)),"")</f>
        <v>53</v>
      </c>
      <c r="DX18" s="18"/>
      <c r="DY18" s="20" t="s">
        <v>29</v>
      </c>
      <c r="DZ18" s="20" t="n">
        <v>0.605555555555556</v>
      </c>
      <c r="EA18" s="20" t="n">
        <v>0.641666666666667</v>
      </c>
      <c r="EB18" s="1" t="str">
        <f aca="false">"[""" &amp; DY18 &amp; """, """ &amp; IF(DZ18="","",TEXT(DZ18,"h:mm")) &amp; """, """ &amp; IF(EA18="","",TEXT(EA18,"h:mm")) &amp; """],"</f>
        <v>["別府", "14:32", "15:24"],</v>
      </c>
      <c r="EC18" s="18" t="n">
        <f aca="false">IF(AND(LEN(DZ18)&lt;&gt;0,LEN(EA18)&lt;&gt;0),((HOUR(EA18)*60)+MINUTE(EA18))-((HOUR(DZ18)*60)+MINUTE(DZ18)),"")</f>
        <v>52</v>
      </c>
      <c r="ED18" s="20" t="s">
        <v>29</v>
      </c>
      <c r="EE18" s="20" t="n">
        <v>0.601388888888889</v>
      </c>
      <c r="EF18" s="20" t="n">
        <v>0.645833333333333</v>
      </c>
      <c r="EG18" s="1" t="str">
        <f aca="false">"[""" &amp; ED18 &amp; """, """ &amp; IF(EE18="","",TEXT(EE18,"h:mm")) &amp; """, """ &amp; IF(EF18="","",TEXT(EF18,"h:mm")) &amp; """],"</f>
        <v>["別府", "14:26", "15:30"],</v>
      </c>
      <c r="EH18" s="18" t="n">
        <f aca="false">IF(AND(LEN(EE18)&lt;&gt;0,LEN(EF18)&lt;&gt;0),((HOUR(EF18)*60)+MINUTE(EF18))-((HOUR(EE18)*60)+MINUTE(EE18)),"")</f>
        <v>64</v>
      </c>
      <c r="EI18" s="20" t="s">
        <v>29</v>
      </c>
      <c r="EJ18" s="20" t="n">
        <v>0.605555555555556</v>
      </c>
      <c r="EK18" s="20" t="n">
        <v>0.641666666666667</v>
      </c>
      <c r="EL18" s="1" t="str">
        <f aca="false">"[""" &amp; EI18 &amp; """, """ &amp; IF(EJ18="","",TEXT(EJ18,"h:mm")) &amp; """, """ &amp; IF(EK18="","",TEXT(EK18,"h:mm")) &amp; """],"</f>
        <v>["別府", "14:32", "15:24"],</v>
      </c>
      <c r="EM18" s="18" t="n">
        <f aca="false">IF(AND(LEN(EJ18)&lt;&gt;0,LEN(EK18)&lt;&gt;0),((HOUR(EK18)*60)+MINUTE(EK18))-((HOUR(EJ18)*60)+MINUTE(EJ18)),"")</f>
        <v>52</v>
      </c>
      <c r="EN18" s="20" t="s">
        <v>29</v>
      </c>
      <c r="EO18" s="20" t="n">
        <v>0.601388888888889</v>
      </c>
      <c r="EP18" s="20" t="n">
        <v>0.645833333333333</v>
      </c>
      <c r="EQ18" s="1" t="str">
        <f aca="false">"[""" &amp; EN18 &amp; """, """ &amp; IF(EO18="","",TEXT(EO18,"h:mm")) &amp; """, """ &amp; IF(EP18="","",TEXT(EP18,"h:mm")) &amp; """],"</f>
        <v>["別府", "14:26", "15:30"],</v>
      </c>
      <c r="ER18" s="18" t="n">
        <f aca="false">IF(AND(LEN(EO18)&lt;&gt;0,LEN(EP18)&lt;&gt;0),((HOUR(EP18)*60)+MINUTE(EP18))-((HOUR(EO18)*60)+MINUTE(EO18)),"")</f>
        <v>64</v>
      </c>
    </row>
    <row r="19" customFormat="false" ht="18" hidden="false" customHeight="false" outlineLevel="0" collapsed="false">
      <c r="E19" s="18"/>
      <c r="J19" s="18"/>
      <c r="O19" s="18"/>
      <c r="T19" s="18"/>
      <c r="Y19" s="18"/>
      <c r="AD19" s="18"/>
      <c r="AI19" s="18"/>
      <c r="AN19" s="18"/>
      <c r="AS19" s="18" t="str">
        <f aca="false">IF(AND(LEN(AP19)&lt;&gt;0,LEN(AQ19)&lt;&gt;0),((HOUR(AQ19)*60)+MINUTE(AQ19))-((HOUR(AP19)*60)+MINUTE(AP19)),"")</f>
        <v/>
      </c>
      <c r="AX19" s="18" t="str">
        <f aca="false">IF(AND(LEN(AU19)&lt;&gt;0,LEN(AV19)&lt;&gt;0),((HOUR(AV19)*60)+MINUTE(AV19))-((HOUR(AU19)*60)+MINUTE(AU19)),"")</f>
        <v/>
      </c>
      <c r="AY19" s="26"/>
      <c r="BD19" s="18" t="str">
        <f aca="false">IF(AND(LEN(BA19)&lt;&gt;0,LEN(BB19)&lt;&gt;0),((HOUR(BB19)*60)+MINUTE(BB19))-((HOUR(BA19)*60)+MINUTE(BA19)),"")</f>
        <v/>
      </c>
      <c r="BI19" s="18" t="str">
        <f aca="false">IF(AND(LEN(BF19)&lt;&gt;0,LEN(BG19)&lt;&gt;0),((HOUR(BG19)*60)+MINUTE(BG19))-((HOUR(BF19)*60)+MINUTE(BF19)),"")</f>
        <v/>
      </c>
      <c r="BN19" s="18" t="str">
        <f aca="false">IF(AND(LEN(BK19)&lt;&gt;0,LEN(BL19)&lt;&gt;0),((HOUR(BL19)*60)+MINUTE(BL19))-((HOUR(BK19)*60)+MINUTE(BK19)),"")</f>
        <v/>
      </c>
      <c r="BS19" s="18" t="str">
        <f aca="false">IF(AND(LEN(BP19)&lt;&gt;0,LEN(BQ19)&lt;&gt;0),((HOUR(BQ19)*60)+MINUTE(BQ19))-((HOUR(BP19)*60)+MINUTE(BP19)),"")</f>
        <v/>
      </c>
      <c r="BX19" s="18" t="str">
        <f aca="false">IF(AND(LEN(BU19)&lt;&gt;0,LEN(BV19)&lt;&gt;0),((HOUR(BV19)*60)+MINUTE(BV19))-((HOUR(BU19)*60)+MINUTE(BU19)),"")</f>
        <v/>
      </c>
      <c r="BZ19" s="27"/>
      <c r="CA19" s="27"/>
      <c r="CB19" s="27"/>
      <c r="CD19" s="18" t="str">
        <f aca="false">IF(AND(LEN(CA19)&lt;&gt;0,LEN(CB19)&lt;&gt;0),((HOUR(CB19)*60)+MINUTE(CB19))-((HOUR(CA19)*60)+MINUTE(CA19)),"")</f>
        <v/>
      </c>
      <c r="CI19" s="18" t="str">
        <f aca="false">IF(AND(LEN(CF19)&lt;&gt;0,LEN(CG19)&lt;&gt;0),((HOUR(CG19)*60)+MINUTE(CG19))-((HOUR(CF19)*60)+MINUTE(CF19)),"")</f>
        <v/>
      </c>
      <c r="CJ19" s="21" t="s">
        <v>31</v>
      </c>
      <c r="CK19" s="22" t="n">
        <v>0.61875</v>
      </c>
      <c r="CL19" s="22" t="n">
        <v>0.622916666666667</v>
      </c>
      <c r="CM19" s="1" t="str">
        <f aca="false">"[""" &amp; CJ19 &amp; """, """ &amp; IF(CK19="","",TEXT(CK19,"h:mm")) &amp; """, """ &amp; IF(CL19="","",TEXT(CL19,"h:mm")) &amp; """],"</f>
        <v>["来居", "14:51", "14:57"],</v>
      </c>
      <c r="CN19" s="18" t="n">
        <f aca="false">IF(AND(LEN(CK19)&lt;&gt;0,LEN(CL19)&lt;&gt;0),((HOUR(CL19)*60)+MINUTE(CL19))-((HOUR(CK19)*60)+MINUTE(CK19)),"")</f>
        <v>6</v>
      </c>
      <c r="CO19" s="19" t="s">
        <v>30</v>
      </c>
      <c r="CP19" s="19" t="n">
        <v>0.619444444444445</v>
      </c>
      <c r="CQ19" s="19" t="n">
        <v>0.625</v>
      </c>
      <c r="CR19" s="1" t="str">
        <f aca="false">"[""" &amp; CO19 &amp; """, """ &amp; IF(CP19="","",TEXT(CP19,"h:mm")) &amp; """, """ &amp; IF(CQ19="","",TEXT(CQ19,"h:mm")) &amp; """],"</f>
        <v>["菱浦", "14:52", "15:00"],</v>
      </c>
      <c r="CS19" s="18" t="n">
        <f aca="false">IF(AND(LEN(CP19)&lt;&gt;0,LEN(CQ19)&lt;&gt;0),((HOUR(CQ19)*60)+MINUTE(CQ19))-((HOUR(CP19)*60)+MINUTE(CP19)),"")</f>
        <v>8</v>
      </c>
      <c r="CT19" s="28"/>
      <c r="CU19" s="19" t="s">
        <v>30</v>
      </c>
      <c r="CV19" s="19" t="n">
        <v>0.724305555555556</v>
      </c>
      <c r="CW19" s="19" t="n">
        <v>0.725694444444445</v>
      </c>
      <c r="CX19" s="1" t="str">
        <f aca="false">"[""" &amp; CU19 &amp; """, """ &amp; IF(CV19="","",TEXT(CV19,"h:mm")) &amp; """, """ &amp; IF(CW19="","",TEXT(CW19,"h:mm")) &amp; """],"</f>
        <v>["菱浦", "17:23", "17:25"],</v>
      </c>
      <c r="CY19" s="18" t="n">
        <f aca="false">IF(AND(LEN(CV19)&lt;&gt;0,LEN(CW19)&lt;&gt;0),((HOUR(CW19)*60)+MINUTE(CW19))-((HOUR(CV19)*60)+MINUTE(CV19)),"")</f>
        <v>2</v>
      </c>
      <c r="CZ19" s="21" t="s">
        <v>31</v>
      </c>
      <c r="DA19" s="22" t="n">
        <v>0.505555555555556</v>
      </c>
      <c r="DB19" s="22" t="n">
        <v>0.506944444444444</v>
      </c>
      <c r="DC19" s="1" t="str">
        <f aca="false">"[""" &amp; CZ19 &amp; """, """ &amp; IF(DA19="","",TEXT(DA19,"h:mm")) &amp; """, """ &amp; IF(DB19="","",TEXT(DB19,"h:mm")) &amp; """],"</f>
        <v>["来居", "12:08", "12:10"],</v>
      </c>
      <c r="DD19" s="18" t="n">
        <f aca="false">IF(AND(LEN(DA19)&lt;&gt;0,LEN(DB19)&lt;&gt;0),((HOUR(DB19)*60)+MINUTE(DB19))-((HOUR(DA19)*60)+MINUTE(DA19)),"")</f>
        <v>2</v>
      </c>
      <c r="DE19" s="21" t="s">
        <v>31</v>
      </c>
      <c r="DF19" s="22" t="n">
        <v>0.505555555555556</v>
      </c>
      <c r="DG19" s="22" t="n">
        <v>0.506944444444444</v>
      </c>
      <c r="DH19" s="1" t="str">
        <f aca="false">"[""" &amp; DE19 &amp; """, """ &amp; IF(DF19="","",TEXT(DF19,"h:mm")) &amp; """, """ &amp; IF(DG19="","",TEXT(DG19,"h:mm")) &amp; """],"</f>
        <v>["来居", "12:08", "12:10"],</v>
      </c>
      <c r="DI19" s="18" t="n">
        <f aca="false">IF(AND(LEN(DF19)&lt;&gt;0,LEN(DG19)&lt;&gt;0),((HOUR(DG19)*60)+MINUTE(DG19))-((HOUR(DF19)*60)+MINUTE(DF19)),"")</f>
        <v>2</v>
      </c>
      <c r="DJ19" s="21" t="s">
        <v>31</v>
      </c>
      <c r="DK19" s="22" t="n">
        <v>0.505555555555556</v>
      </c>
      <c r="DL19" s="22" t="n">
        <v>0.506944444444444</v>
      </c>
      <c r="DM19" s="1" t="str">
        <f aca="false">"[""" &amp; DJ19 &amp; """, """ &amp; IF(DK19="","",TEXT(DK19,"h:mm")) &amp; """, """ &amp; IF(DL19="","",TEXT(DL19,"h:mm")) &amp; """],"</f>
        <v>["来居", "12:08", "12:10"],</v>
      </c>
      <c r="DN19" s="18" t="n">
        <f aca="false">IF(AND(LEN(DK19)&lt;&gt;0,LEN(DL19)&lt;&gt;0),((HOUR(DL19)*60)+MINUTE(DL19))-((HOUR(DK19)*60)+MINUTE(DK19)),"")</f>
        <v>2</v>
      </c>
      <c r="DO19" s="21" t="s">
        <v>31</v>
      </c>
      <c r="DP19" s="22" t="n">
        <v>0.505555555555556</v>
      </c>
      <c r="DQ19" s="22" t="n">
        <v>0.506944444444444</v>
      </c>
      <c r="DR19" s="1" t="str">
        <f aca="false">"[""" &amp; DO19 &amp; """, """ &amp; IF(DP19="","",TEXT(DP19,"h:mm")) &amp; """, """ &amp; IF(DQ19="","",TEXT(DQ19,"h:mm")) &amp; """],"</f>
        <v>["来居", "12:08", "12:10"],</v>
      </c>
      <c r="DS19" s="18" t="n">
        <f aca="false">IF(AND(LEN(DP19)&lt;&gt;0,LEN(DQ19)&lt;&gt;0),((HOUR(DQ19)*60)+MINUTE(DQ19))-((HOUR(DP19)*60)+MINUTE(DP19)),"")</f>
        <v>2</v>
      </c>
      <c r="DX19" s="18"/>
      <c r="DY19" s="19" t="s">
        <v>30</v>
      </c>
      <c r="DZ19" s="19" t="n">
        <v>0.646527777777778</v>
      </c>
      <c r="EA19" s="19" t="n">
        <v>0.652777777777778</v>
      </c>
      <c r="EB19" s="1" t="str">
        <f aca="false">"[""" &amp; DY19 &amp; """, """ &amp; IF(DZ19="","",TEXT(DZ19,"h:mm")) &amp; """, """ &amp; IF(EA19="","",TEXT(EA19,"h:mm")) &amp; """],"</f>
        <v>["菱浦", "15:31", "15:40"],</v>
      </c>
      <c r="EC19" s="18" t="n">
        <f aca="false">IF(AND(LEN(DZ19)&lt;&gt;0,LEN(EA19)&lt;&gt;0),((HOUR(EA19)*60)+MINUTE(EA19))-((HOUR(DZ19)*60)+MINUTE(DZ19)),"")</f>
        <v>9</v>
      </c>
      <c r="ED19" s="19" t="s">
        <v>30</v>
      </c>
      <c r="EE19" s="19" t="n">
        <v>0.650694444444445</v>
      </c>
      <c r="EF19" s="19" t="n">
        <v>0.652777777777778</v>
      </c>
      <c r="EG19" s="1" t="str">
        <f aca="false">"[""" &amp; ED19 &amp; """, """ &amp; IF(EE19="","",TEXT(EE19,"h:mm")) &amp; """, """ &amp; IF(EF19="","",TEXT(EF19,"h:mm")) &amp; """],"</f>
        <v>["菱浦", "15:37", "15:40"],</v>
      </c>
      <c r="EH19" s="18" t="n">
        <f aca="false">IF(AND(LEN(EE19)&lt;&gt;0,LEN(EF19)&lt;&gt;0),((HOUR(EF19)*60)+MINUTE(EF19))-((HOUR(EE19)*60)+MINUTE(EE19)),"")</f>
        <v>3</v>
      </c>
      <c r="EI19" s="19" t="s">
        <v>30</v>
      </c>
      <c r="EJ19" s="19" t="n">
        <v>0.646527777777778</v>
      </c>
      <c r="EK19" s="19" t="n">
        <v>0.652777777777778</v>
      </c>
      <c r="EL19" s="1" t="str">
        <f aca="false">"[""" &amp; EI19 &amp; """, """ &amp; IF(EJ19="","",TEXT(EJ19,"h:mm")) &amp; """, """ &amp; IF(EK19="","",TEXT(EK19,"h:mm")) &amp; """],"</f>
        <v>["菱浦", "15:31", "15:40"],</v>
      </c>
      <c r="EM19" s="18" t="n">
        <f aca="false">IF(AND(LEN(EJ19)&lt;&gt;0,LEN(EK19)&lt;&gt;0),((HOUR(EK19)*60)+MINUTE(EK19))-((HOUR(EJ19)*60)+MINUTE(EJ19)),"")</f>
        <v>9</v>
      </c>
      <c r="EN19" s="19" t="s">
        <v>30</v>
      </c>
      <c r="EO19" s="19" t="n">
        <v>0.650694444444445</v>
      </c>
      <c r="EP19" s="19" t="n">
        <v>0.652777777777778</v>
      </c>
      <c r="EQ19" s="1" t="str">
        <f aca="false">"[""" &amp; EN19 &amp; """, """ &amp; IF(EO19="","",TEXT(EO19,"h:mm")) &amp; """, """ &amp; IF(EP19="","",TEXT(EP19,"h:mm")) &amp; """],"</f>
        <v>["菱浦", "15:37", "15:40"],</v>
      </c>
      <c r="ER19" s="18" t="n">
        <f aca="false">IF(AND(LEN(EO19)&lt;&gt;0,LEN(EP19)&lt;&gt;0),((HOUR(EP19)*60)+MINUTE(EP19))-((HOUR(EO19)*60)+MINUTE(EO19)),"")</f>
        <v>3</v>
      </c>
    </row>
    <row r="20" customFormat="false" ht="18" hidden="false" customHeight="false" outlineLevel="0" collapsed="false">
      <c r="E20" s="18"/>
      <c r="J20" s="18"/>
      <c r="O20" s="18"/>
      <c r="T20" s="18"/>
      <c r="Y20" s="18"/>
      <c r="AD20" s="18"/>
      <c r="AI20" s="18"/>
      <c r="AN20" s="18"/>
      <c r="AS20" s="18" t="str">
        <f aca="false">IF(AND(LEN(AP20)&lt;&gt;0,LEN(AQ20)&lt;&gt;0),((HOUR(AQ20)*60)+MINUTE(AQ20))-((HOUR(AP20)*60)+MINUTE(AP20)),"")</f>
        <v/>
      </c>
      <c r="AX20" s="18" t="str">
        <f aca="false">IF(AND(LEN(AU20)&lt;&gt;0,LEN(AV20)&lt;&gt;0),((HOUR(AV20)*60)+MINUTE(AV20))-((HOUR(AU20)*60)+MINUTE(AU20)),"")</f>
        <v/>
      </c>
      <c r="AY20" s="26"/>
      <c r="BD20" s="18" t="str">
        <f aca="false">IF(AND(LEN(BA20)&lt;&gt;0,LEN(BB20)&lt;&gt;0),((HOUR(BB20)*60)+MINUTE(BB20))-((HOUR(BA20)*60)+MINUTE(BA20)),"")</f>
        <v/>
      </c>
      <c r="BI20" s="18" t="str">
        <f aca="false">IF(AND(LEN(BF20)&lt;&gt;0,LEN(BG20)&lt;&gt;0),((HOUR(BG20)*60)+MINUTE(BG20))-((HOUR(BF20)*60)+MINUTE(BF20)),"")</f>
        <v/>
      </c>
      <c r="BN20" s="18" t="str">
        <f aca="false">IF(AND(LEN(BK20)&lt;&gt;0,LEN(BL20)&lt;&gt;0),((HOUR(BL20)*60)+MINUTE(BL20))-((HOUR(BK20)*60)+MINUTE(BK20)),"")</f>
        <v/>
      </c>
      <c r="BS20" s="18" t="str">
        <f aca="false">IF(AND(LEN(BP20)&lt;&gt;0,LEN(BQ20)&lt;&gt;0),((HOUR(BQ20)*60)+MINUTE(BQ20))-((HOUR(BP20)*60)+MINUTE(BP20)),"")</f>
        <v/>
      </c>
      <c r="BX20" s="18" t="str">
        <f aca="false">IF(AND(LEN(BU20)&lt;&gt;0,LEN(BV20)&lt;&gt;0),((HOUR(BV20)*60)+MINUTE(BV20))-((HOUR(BU20)*60)+MINUTE(BU20)),"")</f>
        <v/>
      </c>
      <c r="BZ20" s="27"/>
      <c r="CA20" s="27"/>
      <c r="CB20" s="27"/>
      <c r="CD20" s="18" t="str">
        <f aca="false">IF(AND(LEN(CA20)&lt;&gt;0,LEN(CB20)&lt;&gt;0),((HOUR(CB20)*60)+MINUTE(CB20))-((HOUR(CA20)*60)+MINUTE(CA20)),"")</f>
        <v/>
      </c>
      <c r="CI20" s="18" t="str">
        <f aca="false">IF(AND(LEN(CF20)&lt;&gt;0,LEN(CG20)&lt;&gt;0),((HOUR(CG20)*60)+MINUTE(CG20))-((HOUR(CF20)*60)+MINUTE(CF20)),"")</f>
        <v/>
      </c>
      <c r="CJ20" s="20" t="s">
        <v>29</v>
      </c>
      <c r="CK20" s="20" t="n">
        <v>0.649305555555556</v>
      </c>
      <c r="CL20" s="20" t="n">
        <v>0.654166666666667</v>
      </c>
      <c r="CM20" s="1" t="str">
        <f aca="false">"[""" &amp; CJ20 &amp; """, """ &amp; IF(CK20="","",TEXT(CK20,"h:mm")) &amp; """, """ &amp; IF(CL20="","",TEXT(CL20,"h:mm")) &amp; """],"</f>
        <v>["別府", "15:35", "15:42"],</v>
      </c>
      <c r="CN20" s="18" t="n">
        <f aca="false">IF(AND(LEN(CK20)&lt;&gt;0,LEN(CL20)&lt;&gt;0),((HOUR(CL20)*60)+MINUTE(CL20))-((HOUR(CK20)*60)+MINUTE(CK20)),"")</f>
        <v>7</v>
      </c>
      <c r="CO20" s="20" t="s">
        <v>29</v>
      </c>
      <c r="CP20" s="20" t="n">
        <v>0.635416666666667</v>
      </c>
      <c r="CQ20" s="20" t="n">
        <v>0.638888888888889</v>
      </c>
      <c r="CR20" s="1" t="str">
        <f aca="false">"[""" &amp; CO20 &amp; """, """ &amp; IF(CP20="","",TEXT(CP20,"h:mm")) &amp; """, """ &amp; IF(CQ20="","",TEXT(CQ20,"h:mm")) &amp; """],"</f>
        <v>["別府", "15:15", "15:20"],</v>
      </c>
      <c r="CS20" s="18" t="n">
        <f aca="false">IF(AND(LEN(CP20)&lt;&gt;0,LEN(CQ20)&lt;&gt;0),((HOUR(CQ20)*60)+MINUTE(CQ20))-((HOUR(CP20)*60)+MINUTE(CP20)),"")</f>
        <v>5</v>
      </c>
      <c r="CT20" s="28"/>
      <c r="CU20" s="21" t="s">
        <v>31</v>
      </c>
      <c r="CV20" s="22" t="n">
        <v>0.739583333333333</v>
      </c>
      <c r="CW20" s="22" t="n">
        <v>0.740972222222222</v>
      </c>
      <c r="CX20" s="1" t="str">
        <f aca="false">"[""" &amp; CU20 &amp; """, """ &amp; IF(CV20="","",TEXT(CV20,"h:mm")) &amp; """, """ &amp; IF(CW20="","",TEXT(CW20,"h:mm")) &amp; """],"</f>
        <v>["来居", "17:45", "17:47"],</v>
      </c>
      <c r="CY20" s="18" t="n">
        <f aca="false">IF(AND(LEN(CV20)&lt;&gt;0,LEN(CW20)&lt;&gt;0),((HOUR(CW20)*60)+MINUTE(CW20))-((HOUR(CV20)*60)+MINUTE(CV20)),"")</f>
        <v>2</v>
      </c>
      <c r="CZ20" s="19" t="s">
        <v>30</v>
      </c>
      <c r="DA20" s="19" t="n">
        <v>0.519444444444445</v>
      </c>
      <c r="DB20" s="19" t="n">
        <v>0.520833333333333</v>
      </c>
      <c r="DC20" s="1" t="str">
        <f aca="false">"[""" &amp; CZ20 &amp; """, """ &amp; IF(DA20="","",TEXT(DA20,"h:mm")) &amp; """, """ &amp; IF(DB20="","",TEXT(DB20,"h:mm")) &amp; """],"</f>
        <v>["菱浦", "12:28", "12:30"],</v>
      </c>
      <c r="DD20" s="18" t="n">
        <f aca="false">IF(AND(LEN(DA20)&lt;&gt;0,LEN(DB20)&lt;&gt;0),((HOUR(DB20)*60)+MINUTE(DB20))-((HOUR(DA20)*60)+MINUTE(DA20)),"")</f>
        <v>2</v>
      </c>
      <c r="DE20" s="19" t="s">
        <v>30</v>
      </c>
      <c r="DF20" s="19" t="n">
        <v>0.519444444444445</v>
      </c>
      <c r="DG20" s="19" t="n">
        <v>0.520833333333333</v>
      </c>
      <c r="DH20" s="1" t="str">
        <f aca="false">"[""" &amp; DE20 &amp; """, """ &amp; IF(DF20="","",TEXT(DF20,"h:mm")) &amp; """, """ &amp; IF(DG20="","",TEXT(DG20,"h:mm")) &amp; """],"</f>
        <v>["菱浦", "12:28", "12:30"],</v>
      </c>
      <c r="DI20" s="18" t="n">
        <f aca="false">IF(AND(LEN(DF20)&lt;&gt;0,LEN(DG20)&lt;&gt;0),((HOUR(DG20)*60)+MINUTE(DG20))-((HOUR(DF20)*60)+MINUTE(DF20)),"")</f>
        <v>2</v>
      </c>
      <c r="DJ20" s="19" t="s">
        <v>30</v>
      </c>
      <c r="DK20" s="19" t="n">
        <v>0.519444444444445</v>
      </c>
      <c r="DL20" s="19" t="n">
        <v>0.520833333333333</v>
      </c>
      <c r="DM20" s="1" t="str">
        <f aca="false">"[""" &amp; DJ20 &amp; """, """ &amp; IF(DK20="","",TEXT(DK20,"h:mm")) &amp; """, """ &amp; IF(DL20="","",TEXT(DL20,"h:mm")) &amp; """],"</f>
        <v>["菱浦", "12:28", "12:30"],</v>
      </c>
      <c r="DN20" s="18" t="n">
        <f aca="false">IF(AND(LEN(DK20)&lt;&gt;0,LEN(DL20)&lt;&gt;0),((HOUR(DL20)*60)+MINUTE(DL20))-((HOUR(DK20)*60)+MINUTE(DK20)),"")</f>
        <v>2</v>
      </c>
      <c r="DO20" s="19" t="s">
        <v>30</v>
      </c>
      <c r="DP20" s="19" t="n">
        <v>0.519444444444445</v>
      </c>
      <c r="DQ20" s="19" t="n">
        <v>0.520833333333333</v>
      </c>
      <c r="DR20" s="1" t="str">
        <f aca="false">"[""" &amp; DO20 &amp; """, """ &amp; IF(DP20="","",TEXT(DP20,"h:mm")) &amp; """, """ &amp; IF(DQ20="","",TEXT(DQ20,"h:mm")) &amp; """],"</f>
        <v>["菱浦", "12:28", "12:30"],</v>
      </c>
      <c r="DS20" s="18" t="n">
        <f aca="false">IF(AND(LEN(DP20)&lt;&gt;0,LEN(DQ20)&lt;&gt;0),((HOUR(DQ20)*60)+MINUTE(DQ20))-((HOUR(DP20)*60)+MINUTE(DP20)),"")</f>
        <v>2</v>
      </c>
      <c r="DX20" s="18"/>
      <c r="DY20" s="20" t="s">
        <v>29</v>
      </c>
      <c r="DZ20" s="20" t="n">
        <v>0.657638888888889</v>
      </c>
      <c r="EA20" s="20" t="n">
        <v>0.694444444444445</v>
      </c>
      <c r="EB20" s="1" t="str">
        <f aca="false">"[""" &amp; DY20 &amp; """, """ &amp; IF(DZ20="","",TEXT(DZ20,"h:mm")) &amp; """, """ &amp; IF(EA20="","",TEXT(EA20,"h:mm")) &amp; """],"</f>
        <v>["別府", "15:47", "16:40"],</v>
      </c>
      <c r="EC20" s="18" t="n">
        <f aca="false">IF(AND(LEN(DZ20)&lt;&gt;0,LEN(EA20)&lt;&gt;0),((HOUR(EA20)*60)+MINUTE(EA20))-((HOUR(DZ20)*60)+MINUTE(DZ20)),"")</f>
        <v>53</v>
      </c>
      <c r="ED20" s="20" t="s">
        <v>29</v>
      </c>
      <c r="EE20" s="20" t="n">
        <v>0.657638888888889</v>
      </c>
      <c r="EF20" s="20" t="n">
        <v>0.673611111111111</v>
      </c>
      <c r="EG20" s="1" t="str">
        <f aca="false">"[""" &amp; ED20 &amp; """, """ &amp; IF(EE20="","",TEXT(EE20,"h:mm")) &amp; """, """ &amp; IF(EF20="","",TEXT(EF20,"h:mm")) &amp; """],"</f>
        <v>["別府", "15:47", "16:10"],</v>
      </c>
      <c r="EH20" s="18" t="n">
        <f aca="false">IF(AND(LEN(EE20)&lt;&gt;0,LEN(EF20)&lt;&gt;0),((HOUR(EF20)*60)+MINUTE(EF20))-((HOUR(EE20)*60)+MINUTE(EE20)),"")</f>
        <v>23</v>
      </c>
      <c r="EI20" s="20" t="s">
        <v>29</v>
      </c>
      <c r="EJ20" s="20" t="n">
        <v>0.657638888888889</v>
      </c>
      <c r="EK20" s="20" t="n">
        <v>0.694444444444445</v>
      </c>
      <c r="EL20" s="1" t="str">
        <f aca="false">"[""" &amp; EI20 &amp; """, """ &amp; IF(EJ20="","",TEXT(EJ20,"h:mm")) &amp; """, """ &amp; IF(EK20="","",TEXT(EK20,"h:mm")) &amp; """],"</f>
        <v>["別府", "15:47", "16:40"],</v>
      </c>
      <c r="EM20" s="18" t="n">
        <f aca="false">IF(AND(LEN(EJ20)&lt;&gt;0,LEN(EK20)&lt;&gt;0),((HOUR(EK20)*60)+MINUTE(EK20))-((HOUR(EJ20)*60)+MINUTE(EJ20)),"")</f>
        <v>53</v>
      </c>
      <c r="EN20" s="20" t="s">
        <v>29</v>
      </c>
      <c r="EO20" s="20" t="n">
        <v>0.657638888888889</v>
      </c>
      <c r="EP20" s="20" t="n">
        <v>0.673611111111111</v>
      </c>
      <c r="EQ20" s="1" t="str">
        <f aca="false">"[""" &amp; EN20 &amp; """, """ &amp; IF(EO20="","",TEXT(EO20,"h:mm")) &amp; """, """ &amp; IF(EP20="","",TEXT(EP20,"h:mm")) &amp; """],"</f>
        <v>["別府", "15:47", "16:10"],</v>
      </c>
      <c r="ER20" s="18" t="n">
        <f aca="false">IF(AND(LEN(EO20)&lt;&gt;0,LEN(EP20)&lt;&gt;0),((HOUR(EP20)*60)+MINUTE(EP20))-((HOUR(EO20)*60)+MINUTE(EO20)),"")</f>
        <v>23</v>
      </c>
    </row>
    <row r="21" customFormat="false" ht="18" hidden="false" customHeight="false" outlineLevel="0" collapsed="false">
      <c r="E21" s="18"/>
      <c r="J21" s="18"/>
      <c r="O21" s="18"/>
      <c r="T21" s="18"/>
      <c r="Y21" s="18"/>
      <c r="AD21" s="18"/>
      <c r="AI21" s="18"/>
      <c r="AN21" s="18"/>
      <c r="AS21" s="18" t="str">
        <f aca="false">IF(AND(LEN(AP21)&lt;&gt;0,LEN(AQ21)&lt;&gt;0),((HOUR(AQ21)*60)+MINUTE(AQ21))-((HOUR(AP21)*60)+MINUTE(AP21)),"")</f>
        <v/>
      </c>
      <c r="AX21" s="18" t="str">
        <f aca="false">IF(AND(LEN(AU21)&lt;&gt;0,LEN(AV21)&lt;&gt;0),((HOUR(AV21)*60)+MINUTE(AV21))-((HOUR(AU21)*60)+MINUTE(AU21)),"")</f>
        <v/>
      </c>
      <c r="AY21" s="26"/>
      <c r="BD21" s="18" t="str">
        <f aca="false">IF(AND(LEN(BA21)&lt;&gt;0,LEN(BB21)&lt;&gt;0),((HOUR(BB21)*60)+MINUTE(BB21))-((HOUR(BA21)*60)+MINUTE(BA21)),"")</f>
        <v/>
      </c>
      <c r="BI21" s="18" t="str">
        <f aca="false">IF(AND(LEN(BF21)&lt;&gt;0,LEN(BG21)&lt;&gt;0),((HOUR(BG21)*60)+MINUTE(BG21))-((HOUR(BF21)*60)+MINUTE(BF21)),"")</f>
        <v/>
      </c>
      <c r="BN21" s="18" t="str">
        <f aca="false">IF(AND(LEN(BK21)&lt;&gt;0,LEN(BL21)&lt;&gt;0),((HOUR(BL21)*60)+MINUTE(BL21))-((HOUR(BK21)*60)+MINUTE(BK21)),"")</f>
        <v/>
      </c>
      <c r="BS21" s="18" t="str">
        <f aca="false">IF(AND(LEN(BP21)&lt;&gt;0,LEN(BQ21)&lt;&gt;0),((HOUR(BQ21)*60)+MINUTE(BQ21))-((HOUR(BP21)*60)+MINUTE(BP21)),"")</f>
        <v/>
      </c>
      <c r="BX21" s="18" t="str">
        <f aca="false">IF(AND(LEN(BU21)&lt;&gt;0,LEN(BV21)&lt;&gt;0),((HOUR(BV21)*60)+MINUTE(BV21))-((HOUR(BU21)*60)+MINUTE(BU21)),"")</f>
        <v/>
      </c>
      <c r="BZ21" s="27"/>
      <c r="CA21" s="27"/>
      <c r="CB21" s="27"/>
      <c r="CD21" s="18" t="str">
        <f aca="false">IF(AND(LEN(CA21)&lt;&gt;0,LEN(CB21)&lt;&gt;0),((HOUR(CB21)*60)+MINUTE(CB21))-((HOUR(CA21)*60)+MINUTE(CA21)),"")</f>
        <v/>
      </c>
      <c r="CI21" s="18" t="str">
        <f aca="false">IF(AND(LEN(CF21)&lt;&gt;0,LEN(CG21)&lt;&gt;0),((HOUR(CG21)*60)+MINUTE(CG21))-((HOUR(CF21)*60)+MINUTE(CF21)),"")</f>
        <v/>
      </c>
      <c r="CJ21" s="19" t="s">
        <v>30</v>
      </c>
      <c r="CK21" s="19" t="n">
        <v>0.6625</v>
      </c>
      <c r="CL21" s="19" t="n">
        <v>0.680555555555556</v>
      </c>
      <c r="CM21" s="1" t="str">
        <f aca="false">"[""" &amp; CJ21 &amp; """, """ &amp; IF(CK21="","",TEXT(CK21,"h:mm")) &amp; """, """ &amp; IF(CL21="","",TEXT(CL21,"h:mm")) &amp; """],"</f>
        <v>["菱浦", "15:54", "16:20"],</v>
      </c>
      <c r="CN21" s="18" t="n">
        <f aca="false">IF(AND(LEN(CK21)&lt;&gt;0,LEN(CL21)&lt;&gt;0),((HOUR(CL21)*60)+MINUTE(CL21))-((HOUR(CK21)*60)+MINUTE(CK21)),"")</f>
        <v>26</v>
      </c>
      <c r="CO21" s="21" t="s">
        <v>31</v>
      </c>
      <c r="CP21" s="22" t="n">
        <v>0.660416666666667</v>
      </c>
      <c r="CQ21" s="22" t="n">
        <v>0.664583333333333</v>
      </c>
      <c r="CR21" s="1" t="str">
        <f aca="false">"[""" &amp; CO21 &amp; """, """ &amp; IF(CP21="","",TEXT(CP21,"h:mm")) &amp; """, """ &amp; IF(CQ21="","",TEXT(CQ21,"h:mm")) &amp; """],"</f>
        <v>["来居", "15:51", "15:57"],</v>
      </c>
      <c r="CS21" s="18" t="n">
        <f aca="false">IF(AND(LEN(CP21)&lt;&gt;0,LEN(CQ21)&lt;&gt;0),((HOUR(CQ21)*60)+MINUTE(CQ21))-((HOUR(CP21)*60)+MINUTE(CP21)),"")</f>
        <v>6</v>
      </c>
      <c r="CT21" s="28"/>
      <c r="CU21" s="19" t="s">
        <v>30</v>
      </c>
      <c r="CV21" s="19" t="n">
        <v>0.754861111111111</v>
      </c>
      <c r="CW21" s="19" t="n">
        <v>0.75625</v>
      </c>
      <c r="CX21" s="1" t="str">
        <f aca="false">"[""" &amp; CU21 &amp; """, """ &amp; IF(CV21="","",TEXT(CV21,"h:mm")) &amp; """, """ &amp; IF(CW21="","",TEXT(CW21,"h:mm")) &amp; """],"</f>
        <v>["菱浦", "18:07", "18:09"],</v>
      </c>
      <c r="CY21" s="18" t="n">
        <f aca="false">IF(AND(LEN(CV21)&lt;&gt;0,LEN(CW21)&lt;&gt;0),((HOUR(CW21)*60)+MINUTE(CW21))-((HOUR(CV21)*60)+MINUTE(CV21)),"")</f>
        <v>2</v>
      </c>
      <c r="CZ21" s="20" t="s">
        <v>29</v>
      </c>
      <c r="DA21" s="20" t="n">
        <v>0.525694444444445</v>
      </c>
      <c r="DB21" s="20" t="n">
        <v>0.527777777777778</v>
      </c>
      <c r="DC21" s="1" t="str">
        <f aca="false">"[""" &amp; CZ21 &amp; """, """ &amp; IF(DA21="","",TEXT(DA21,"h:mm")) &amp; """, """ &amp; IF(DB21="","",TEXT(DB21,"h:mm")) &amp; """],"</f>
        <v>["別府", "12:37", "12:40"],</v>
      </c>
      <c r="DD21" s="18" t="n">
        <f aca="false">IF(AND(LEN(DA21)&lt;&gt;0,LEN(DB21)&lt;&gt;0),((HOUR(DB21)*60)+MINUTE(DB21))-((HOUR(DA21)*60)+MINUTE(DA21)),"")</f>
        <v>3</v>
      </c>
      <c r="DE21" s="20" t="s">
        <v>29</v>
      </c>
      <c r="DF21" s="20" t="n">
        <v>0.525694444444445</v>
      </c>
      <c r="DG21" s="20" t="n">
        <v>0.527777777777778</v>
      </c>
      <c r="DH21" s="1" t="str">
        <f aca="false">"[""" &amp; DE21 &amp; """, """ &amp; IF(DF21="","",TEXT(DF21,"h:mm")) &amp; """, """ &amp; IF(DG21="","",TEXT(DG21,"h:mm")) &amp; """],"</f>
        <v>["別府", "12:37", "12:40"],</v>
      </c>
      <c r="DI21" s="18" t="n">
        <f aca="false">IF(AND(LEN(DF21)&lt;&gt;0,LEN(DG21)&lt;&gt;0),((HOUR(DG21)*60)+MINUTE(DG21))-((HOUR(DF21)*60)+MINUTE(DF21)),"")</f>
        <v>3</v>
      </c>
      <c r="DJ21" s="20" t="s">
        <v>29</v>
      </c>
      <c r="DK21" s="20" t="n">
        <v>0.525694444444445</v>
      </c>
      <c r="DL21" s="20" t="n">
        <v>0.527777777777778</v>
      </c>
      <c r="DM21" s="1" t="str">
        <f aca="false">"[""" &amp; DJ21 &amp; """, """ &amp; IF(DK21="","",TEXT(DK21,"h:mm")) &amp; """, """ &amp; IF(DL21="","",TEXT(DL21,"h:mm")) &amp; """],"</f>
        <v>["別府", "12:37", "12:40"],</v>
      </c>
      <c r="DN21" s="18" t="n">
        <f aca="false">IF(AND(LEN(DK21)&lt;&gt;0,LEN(DL21)&lt;&gt;0),((HOUR(DL21)*60)+MINUTE(DL21))-((HOUR(DK21)*60)+MINUTE(DK21)),"")</f>
        <v>3</v>
      </c>
      <c r="DO21" s="20" t="s">
        <v>29</v>
      </c>
      <c r="DP21" s="20" t="n">
        <v>0.525694444444445</v>
      </c>
      <c r="DQ21" s="20" t="n">
        <v>0.527777777777778</v>
      </c>
      <c r="DR21" s="1" t="str">
        <f aca="false">"[""" &amp; DO21 &amp; """, """ &amp; IF(DP21="","",TEXT(DP21,"h:mm")) &amp; """, """ &amp; IF(DQ21="","",TEXT(DQ21,"h:mm")) &amp; """],"</f>
        <v>["別府", "12:37", "12:40"],</v>
      </c>
      <c r="DS21" s="18" t="n">
        <f aca="false">IF(AND(LEN(DP21)&lt;&gt;0,LEN(DQ21)&lt;&gt;0),((HOUR(DQ21)*60)+MINUTE(DQ21))-((HOUR(DP21)*60)+MINUTE(DP21)),"")</f>
        <v>3</v>
      </c>
      <c r="DX21" s="18"/>
      <c r="DY21" s="19" t="s">
        <v>30</v>
      </c>
      <c r="DZ21" s="19" t="n">
        <v>0.699305555555556</v>
      </c>
      <c r="EA21" s="19" t="n">
        <v>0.700694444444444</v>
      </c>
      <c r="EB21" s="1" t="str">
        <f aca="false">"[""" &amp; DY21 &amp; """, """ &amp; IF(DZ21="","",TEXT(DZ21,"h:mm")) &amp; """, """ &amp; IF(EA21="","",TEXT(EA21,"h:mm")) &amp; """],"</f>
        <v>["菱浦", "16:47", "16:49"],</v>
      </c>
      <c r="EC21" s="18" t="n">
        <f aca="false">IF(AND(LEN(DZ21)&lt;&gt;0,LEN(EA21)&lt;&gt;0),((HOUR(EA21)*60)+MINUTE(EA21))-((HOUR(DZ21)*60)+MINUTE(DZ21)),"")</f>
        <v>2</v>
      </c>
      <c r="ED21" s="19" t="s">
        <v>30</v>
      </c>
      <c r="EE21" s="19" t="n">
        <v>0.678472222222222</v>
      </c>
      <c r="EF21" s="19" t="n">
        <v>0.700694444444444</v>
      </c>
      <c r="EG21" s="1" t="str">
        <f aca="false">"[""" &amp; ED21 &amp; """, """ &amp; IF(EE21="","",TEXT(EE21,"h:mm")) &amp; """, """ &amp; IF(EF21="","",TEXT(EF21,"h:mm")) &amp; """],"</f>
        <v>["菱浦", "16:17", "16:49"],</v>
      </c>
      <c r="EH21" s="18" t="n">
        <f aca="false">IF(AND(LEN(EE21)&lt;&gt;0,LEN(EF21)&lt;&gt;0),((HOUR(EF21)*60)+MINUTE(EF21))-((HOUR(EE21)*60)+MINUTE(EE21)),"")</f>
        <v>32</v>
      </c>
      <c r="EI21" s="19" t="s">
        <v>30</v>
      </c>
      <c r="EJ21" s="19" t="n">
        <v>0.699305555555556</v>
      </c>
      <c r="EK21" s="19" t="n">
        <v>0.700694444444444</v>
      </c>
      <c r="EL21" s="1" t="str">
        <f aca="false">"[""" &amp; EI21 &amp; """, """ &amp; IF(EJ21="","",TEXT(EJ21,"h:mm")) &amp; """, """ &amp; IF(EK21="","",TEXT(EK21,"h:mm")) &amp; """],"</f>
        <v>["菱浦", "16:47", "16:49"],</v>
      </c>
      <c r="EM21" s="18" t="n">
        <f aca="false">IF(AND(LEN(EJ21)&lt;&gt;0,LEN(EK21)&lt;&gt;0),((HOUR(EK21)*60)+MINUTE(EK21))-((HOUR(EJ21)*60)+MINUTE(EJ21)),"")</f>
        <v>2</v>
      </c>
      <c r="EN21" s="19" t="s">
        <v>30</v>
      </c>
      <c r="EO21" s="19" t="n">
        <v>0.678472222222222</v>
      </c>
      <c r="EP21" s="19" t="n">
        <v>0.700694444444444</v>
      </c>
      <c r="EQ21" s="1" t="str">
        <f aca="false">"[""" &amp; EN21 &amp; """, """ &amp; IF(EO21="","",TEXT(EO21,"h:mm")) &amp; """, """ &amp; IF(EP21="","",TEXT(EP21,"h:mm")) &amp; """],"</f>
        <v>["菱浦", "16:17", "16:49"],</v>
      </c>
      <c r="ER21" s="18" t="n">
        <f aca="false">IF(AND(LEN(EO21)&lt;&gt;0,LEN(EP21)&lt;&gt;0),((HOUR(EP21)*60)+MINUTE(EP21))-((HOUR(EO21)*60)+MINUTE(EO21)),"")</f>
        <v>32</v>
      </c>
    </row>
    <row r="22" customFormat="false" ht="18" hidden="false" customHeight="false" outlineLevel="0" collapsed="false">
      <c r="E22" s="18"/>
      <c r="J22" s="18"/>
      <c r="O22" s="18"/>
      <c r="T22" s="18"/>
      <c r="Y22" s="18"/>
      <c r="AD22" s="18"/>
      <c r="AI22" s="18"/>
      <c r="AN22" s="18"/>
      <c r="AS22" s="18" t="str">
        <f aca="false">IF(AND(LEN(AP22)&lt;&gt;0,LEN(AQ22)&lt;&gt;0),((HOUR(AQ22)*60)+MINUTE(AQ22))-((HOUR(AP22)*60)+MINUTE(AP22)),"")</f>
        <v/>
      </c>
      <c r="AX22" s="18" t="str">
        <f aca="false">IF(AND(LEN(AU22)&lt;&gt;0,LEN(AV22)&lt;&gt;0),((HOUR(AV22)*60)+MINUTE(AV22))-((HOUR(AU22)*60)+MINUTE(AU22)),"")</f>
        <v/>
      </c>
      <c r="AY22" s="26"/>
      <c r="BD22" s="18" t="str">
        <f aca="false">IF(AND(LEN(BA22)&lt;&gt;0,LEN(BB22)&lt;&gt;0),((HOUR(BB22)*60)+MINUTE(BB22))-((HOUR(BA22)*60)+MINUTE(BA22)),"")</f>
        <v/>
      </c>
      <c r="BI22" s="18" t="str">
        <f aca="false">IF(AND(LEN(BF22)&lt;&gt;0,LEN(BG22)&lt;&gt;0),((HOUR(BG22)*60)+MINUTE(BG22))-((HOUR(BF22)*60)+MINUTE(BF22)),"")</f>
        <v/>
      </c>
      <c r="BN22" s="18" t="str">
        <f aca="false">IF(AND(LEN(BK22)&lt;&gt;0,LEN(BL22)&lt;&gt;0),((HOUR(BL22)*60)+MINUTE(BL22))-((HOUR(BK22)*60)+MINUTE(BK22)),"")</f>
        <v/>
      </c>
      <c r="BS22" s="18" t="str">
        <f aca="false">IF(AND(LEN(BP22)&lt;&gt;0,LEN(BQ22)&lt;&gt;0),((HOUR(BQ22)*60)+MINUTE(BQ22))-((HOUR(BP22)*60)+MINUTE(BP22)),"")</f>
        <v/>
      </c>
      <c r="BX22" s="18" t="str">
        <f aca="false">IF(AND(LEN(BU22)&lt;&gt;0,LEN(BV22)&lt;&gt;0),((HOUR(BV22)*60)+MINUTE(BV22))-((HOUR(BU22)*60)+MINUTE(BU22)),"")</f>
        <v/>
      </c>
      <c r="BZ22" s="27"/>
      <c r="CA22" s="27"/>
      <c r="CB22" s="27"/>
      <c r="CD22" s="18" t="str">
        <f aca="false">IF(AND(LEN(CA22)&lt;&gt;0,LEN(CB22)&lt;&gt;0),((HOUR(CB22)*60)+MINUTE(CB22))-((HOUR(CA22)*60)+MINUTE(CA22)),"")</f>
        <v/>
      </c>
      <c r="CI22" s="18" t="str">
        <f aca="false">IF(AND(LEN(CF22)&lt;&gt;0,LEN(CG22)&lt;&gt;0),((HOUR(CG22)*60)+MINUTE(CG22))-((HOUR(CF22)*60)+MINUTE(CF22)),"")</f>
        <v/>
      </c>
      <c r="CJ22" s="20" t="s">
        <v>29</v>
      </c>
      <c r="CK22" s="20" t="n">
        <v>0.690972222222222</v>
      </c>
      <c r="CL22" s="20" t="n">
        <v>0.694444444444445</v>
      </c>
      <c r="CM22" s="1" t="str">
        <f aca="false">"[""" &amp; CJ22 &amp; """, """ &amp; IF(CK22="","",TEXT(CK22,"h:mm")) &amp; """, """ &amp; IF(CL22="","",TEXT(CL22,"h:mm")) &amp; """],"</f>
        <v>["別府", "16:35", "16:40"],</v>
      </c>
      <c r="CN22" s="18" t="n">
        <f aca="false">IF(AND(LEN(CK22)&lt;&gt;0,LEN(CL22)&lt;&gt;0),((HOUR(CL22)*60)+MINUTE(CL22))-((HOUR(CK22)*60)+MINUTE(CK22)),"")</f>
        <v>5</v>
      </c>
      <c r="CO22" s="20" t="s">
        <v>29</v>
      </c>
      <c r="CP22" s="20" t="n">
        <v>0.690972222222222</v>
      </c>
      <c r="CQ22" s="20" t="n">
        <v>0.695833333333333</v>
      </c>
      <c r="CR22" s="1" t="str">
        <f aca="false">"[""" &amp; CO22 &amp; """, """ &amp; IF(CP22="","",TEXT(CP22,"h:mm")) &amp; """, """ &amp; IF(CQ22="","",TEXT(CQ22,"h:mm")) &amp; """],"</f>
        <v>["別府", "16:35", "16:42"],</v>
      </c>
      <c r="CS22" s="18" t="n">
        <f aca="false">IF(AND(LEN(CP22)&lt;&gt;0,LEN(CQ22)&lt;&gt;0),((HOUR(CQ22)*60)+MINUTE(CQ22))-((HOUR(CP22)*60)+MINUTE(CP22)),"")</f>
        <v>7</v>
      </c>
      <c r="CT22" s="28"/>
      <c r="CU22" s="20" t="s">
        <v>29</v>
      </c>
      <c r="CV22" s="20" t="n">
        <v>0.761805555555556</v>
      </c>
      <c r="CX22" s="1" t="str">
        <f aca="false">"[""" &amp; CU22 &amp; """, """ &amp; IF(CV22="","",TEXT(CV22,"h:mm")) &amp; """, """ &amp; IF(CW22="","",TEXT(CW22,"h:mm")) &amp; """]"</f>
        <v>["別府", "18:17", ""]</v>
      </c>
      <c r="CY22" s="18" t="str">
        <f aca="false">IF(AND(LEN(CV22)&lt;&gt;0,LEN(CW22)&lt;&gt;0),((HOUR(CW22)*60)+MINUTE(CW22))-((HOUR(CV22)*60)+MINUTE(CV22)),"")</f>
        <v/>
      </c>
      <c r="CZ22" s="21" t="s">
        <v>31</v>
      </c>
      <c r="DA22" s="22" t="n">
        <v>0.539583333333333</v>
      </c>
      <c r="DB22" s="22" t="n">
        <v>0.541666666666667</v>
      </c>
      <c r="DC22" s="1" t="str">
        <f aca="false">"[""" &amp; CZ22 &amp; """, """ &amp; IF(DA22="","",TEXT(DA22,"h:mm")) &amp; """, """ &amp; IF(DB22="","",TEXT(DB22,"h:mm")) &amp; """],"</f>
        <v>["来居", "12:57", "13:00"],</v>
      </c>
      <c r="DD22" s="18" t="n">
        <f aca="false">IF(AND(LEN(DA22)&lt;&gt;0,LEN(DB22)&lt;&gt;0),((HOUR(DB22)*60)+MINUTE(DB22))-((HOUR(DA22)*60)+MINUTE(DA22)),"")</f>
        <v>3</v>
      </c>
      <c r="DE22" s="21" t="s">
        <v>31</v>
      </c>
      <c r="DF22" s="22" t="n">
        <v>0.539583333333333</v>
      </c>
      <c r="DG22" s="22" t="n">
        <v>0.541666666666667</v>
      </c>
      <c r="DH22" s="1" t="str">
        <f aca="false">"[""" &amp; DE22 &amp; """, """ &amp; IF(DF22="","",TEXT(DF22,"h:mm")) &amp; """, """ &amp; IF(DG22="","",TEXT(DG22,"h:mm")) &amp; """],"</f>
        <v>["来居", "12:57", "13:00"],</v>
      </c>
      <c r="DI22" s="18" t="n">
        <f aca="false">IF(AND(LEN(DF22)&lt;&gt;0,LEN(DG22)&lt;&gt;0),((HOUR(DG22)*60)+MINUTE(DG22))-((HOUR(DF22)*60)+MINUTE(DF22)),"")</f>
        <v>3</v>
      </c>
      <c r="DJ22" s="21" t="s">
        <v>31</v>
      </c>
      <c r="DK22" s="22" t="n">
        <v>0.539583333333333</v>
      </c>
      <c r="DL22" s="22" t="n">
        <v>0.541666666666667</v>
      </c>
      <c r="DM22" s="1" t="str">
        <f aca="false">"[""" &amp; DJ22 &amp; """, """ &amp; IF(DK22="","",TEXT(DK22,"h:mm")) &amp; """, """ &amp; IF(DL22="","",TEXT(DL22,"h:mm")) &amp; """],"</f>
        <v>["来居", "12:57", "13:00"],</v>
      </c>
      <c r="DN22" s="18" t="n">
        <f aca="false">IF(AND(LEN(DK22)&lt;&gt;0,LEN(DL22)&lt;&gt;0),((HOUR(DL22)*60)+MINUTE(DL22))-((HOUR(DK22)*60)+MINUTE(DK22)),"")</f>
        <v>3</v>
      </c>
      <c r="DO22" s="21" t="s">
        <v>31</v>
      </c>
      <c r="DP22" s="22" t="n">
        <v>0.539583333333333</v>
      </c>
      <c r="DQ22" s="22" t="n">
        <v>0.541666666666667</v>
      </c>
      <c r="DR22" s="1" t="str">
        <f aca="false">"[""" &amp; DO22 &amp; """, """ &amp; IF(DP22="","",TEXT(DP22,"h:mm")) &amp; """, """ &amp; IF(DQ22="","",TEXT(DQ22,"h:mm")) &amp; """],"</f>
        <v>["来居", "12:57", "13:00"],</v>
      </c>
      <c r="DS22" s="18" t="n">
        <f aca="false">IF(AND(LEN(DP22)&lt;&gt;0,LEN(DQ22)&lt;&gt;0),((HOUR(DQ22)*60)+MINUTE(DQ22))-((HOUR(DP22)*60)+MINUTE(DP22)),"")</f>
        <v>3</v>
      </c>
      <c r="DX22" s="18"/>
      <c r="DY22" s="20" t="s">
        <v>29</v>
      </c>
      <c r="DZ22" s="20" t="n">
        <v>0.705555555555556</v>
      </c>
      <c r="EA22" s="20" t="n">
        <v>0.722222222222222</v>
      </c>
      <c r="EB22" s="1" t="str">
        <f aca="false">"[""" &amp; DY22 &amp; """, """ &amp; IF(DZ22="","",TEXT(DZ22,"h:mm")) &amp; """, """ &amp; IF(EA22="","",TEXT(EA22,"h:mm")) &amp; """],"</f>
        <v>["別府", "16:56", "17:20"],</v>
      </c>
      <c r="EC22" s="18" t="n">
        <f aca="false">IF(AND(LEN(DZ22)&lt;&gt;0,LEN(EA22)&lt;&gt;0),((HOUR(EA22)*60)+MINUTE(EA22))-((HOUR(DZ22)*60)+MINUTE(DZ22)),"")</f>
        <v>24</v>
      </c>
      <c r="ED22" s="20" t="s">
        <v>29</v>
      </c>
      <c r="EE22" s="20" t="n">
        <v>0.705555555555556</v>
      </c>
      <c r="EF22" s="20" t="n">
        <v>0.722222222222222</v>
      </c>
      <c r="EG22" s="1" t="str">
        <f aca="false">"[""" &amp; ED22 &amp; """, """ &amp; IF(EE22="","",TEXT(EE22,"h:mm")) &amp; """, """ &amp; IF(EF22="","",TEXT(EF22,"h:mm")) &amp; """],"</f>
        <v>["別府", "16:56", "17:20"],</v>
      </c>
      <c r="EH22" s="18" t="n">
        <f aca="false">IF(AND(LEN(EE22)&lt;&gt;0,LEN(EF22)&lt;&gt;0),((HOUR(EF22)*60)+MINUTE(EF22))-((HOUR(EE22)*60)+MINUTE(EE22)),"")</f>
        <v>24</v>
      </c>
      <c r="EI22" s="20" t="s">
        <v>29</v>
      </c>
      <c r="EJ22" s="20" t="n">
        <v>0.705555555555556</v>
      </c>
      <c r="EK22" s="20" t="n">
        <v>0.722222222222222</v>
      </c>
      <c r="EL22" s="1" t="str">
        <f aca="false">"[""" &amp; EI22 &amp; """, """ &amp; IF(EJ22="","",TEXT(EJ22,"h:mm")) &amp; """, """ &amp; IF(EK22="","",TEXT(EK22,"h:mm")) &amp; """],"</f>
        <v>["別府", "16:56", "17:20"],</v>
      </c>
      <c r="EM22" s="18" t="n">
        <f aca="false">IF(AND(LEN(EJ22)&lt;&gt;0,LEN(EK22)&lt;&gt;0),((HOUR(EK22)*60)+MINUTE(EK22))-((HOUR(EJ22)*60)+MINUTE(EJ22)),"")</f>
        <v>24</v>
      </c>
      <c r="EN22" s="20" t="s">
        <v>29</v>
      </c>
      <c r="EO22" s="20" t="n">
        <v>0.705555555555556</v>
      </c>
      <c r="EP22" s="20" t="n">
        <v>0.722222222222222</v>
      </c>
      <c r="EQ22" s="1" t="str">
        <f aca="false">"[""" &amp; EN22 &amp; """, """ &amp; IF(EO22="","",TEXT(EO22,"h:mm")) &amp; """, """ &amp; IF(EP22="","",TEXT(EP22,"h:mm")) &amp; """],"</f>
        <v>["別府", "16:56", "17:20"],</v>
      </c>
      <c r="ER22" s="18" t="n">
        <f aca="false">IF(AND(LEN(EO22)&lt;&gt;0,LEN(EP22)&lt;&gt;0),((HOUR(EP22)*60)+MINUTE(EP22))-((HOUR(EO22)*60)+MINUTE(EO22)),"")</f>
        <v>24</v>
      </c>
    </row>
    <row r="23" customFormat="false" ht="18" hidden="false" customHeight="false" outlineLevel="0" collapsed="false">
      <c r="E23" s="18" t="str">
        <f aca="false">IF(AND(LEN(B23)&lt;&gt;0,LEN(C23)&lt;&gt;0),((HOUR(C23)*60)+MINUTE(C23))-((HOUR(B23)*60)+MINUTE(B23)),"")</f>
        <v/>
      </c>
      <c r="J23" s="18" t="str">
        <f aca="false">IF(AND(LEN(G23)&lt;&gt;0,LEN(H23)&lt;&gt;0),((HOUR(H23)*60)+MINUTE(H23))-((HOUR(G23)*60)+MINUTE(G23)),"")</f>
        <v/>
      </c>
      <c r="O23" s="18" t="str">
        <f aca="false">IF(AND(LEN(L23)&lt;&gt;0,LEN(M23)&lt;&gt;0),((HOUR(M23)*60)+MINUTE(M23))-((HOUR(L23)*60)+MINUTE(L23)),"")</f>
        <v/>
      </c>
      <c r="T23" s="18" t="str">
        <f aca="false">IF(AND(LEN(Q23)&lt;&gt;0,LEN(R23)&lt;&gt;0),((HOUR(R23)*60)+MINUTE(R23))-((HOUR(Q23)*60)+MINUTE(Q23)),"")</f>
        <v/>
      </c>
      <c r="Y23" s="18" t="str">
        <f aca="false">IF(AND(LEN(V23)&lt;&gt;0,LEN(W23)&lt;&gt;0),((HOUR(W23)*60)+MINUTE(W23))-((HOUR(V23)*60)+MINUTE(V23)),"")</f>
        <v/>
      </c>
      <c r="AD23" s="18" t="str">
        <f aca="false">IF(AND(LEN(AA23)&lt;&gt;0,LEN(AB23)&lt;&gt;0),((HOUR(AB23)*60)+MINUTE(AB23))-((HOUR(AA23)*60)+MINUTE(AA23)),"")</f>
        <v/>
      </c>
      <c r="AI23" s="18" t="str">
        <f aca="false">IF(AND(LEN(AF23)&lt;&gt;0,LEN(AG23)&lt;&gt;0),((HOUR(AG23)*60)+MINUTE(AG23))-((HOUR(AF23)*60)+MINUTE(AF23)),"")</f>
        <v/>
      </c>
      <c r="AN23" s="18" t="str">
        <f aca="false">IF(AND(LEN(AK23)&lt;&gt;0,LEN(AL23)&lt;&gt;0),((HOUR(AL23)*60)+MINUTE(AL23))-((HOUR(AK23)*60)+MINUTE(AK23)),"")</f>
        <v/>
      </c>
      <c r="AS23" s="18" t="str">
        <f aca="false">IF(AND(LEN(AP23)&lt;&gt;0,LEN(AQ23)&lt;&gt;0),((HOUR(AQ23)*60)+MINUTE(AQ23))-((HOUR(AP23)*60)+MINUTE(AP23)),"")</f>
        <v/>
      </c>
      <c r="AX23" s="18" t="str">
        <f aca="false">IF(AND(LEN(AU23)&lt;&gt;0,LEN(AV23)&lt;&gt;0),((HOUR(AV23)*60)+MINUTE(AV23))-((HOUR(AU23)*60)+MINUTE(AU23)),"")</f>
        <v/>
      </c>
      <c r="BD23" s="18" t="str">
        <f aca="false">IF(AND(LEN(BA23)&lt;&gt;0,LEN(BB23)&lt;&gt;0),((HOUR(BB23)*60)+MINUTE(BB23))-((HOUR(BA23)*60)+MINUTE(BA23)),"")</f>
        <v/>
      </c>
      <c r="BI23" s="18" t="str">
        <f aca="false">IF(AND(LEN(BF23)&lt;&gt;0,LEN(BG23)&lt;&gt;0),((HOUR(BG23)*60)+MINUTE(BG23))-((HOUR(BF23)*60)+MINUTE(BF23)),"")</f>
        <v/>
      </c>
      <c r="BN23" s="18" t="str">
        <f aca="false">IF(AND(LEN(BK23)&lt;&gt;0,LEN(BL23)&lt;&gt;0),((HOUR(BL23)*60)+MINUTE(BL23))-((HOUR(BK23)*60)+MINUTE(BK23)),"")</f>
        <v/>
      </c>
      <c r="BS23" s="18" t="str">
        <f aca="false">IF(AND(LEN(BP23)&lt;&gt;0,LEN(BQ23)&lt;&gt;0),((HOUR(BQ23)*60)+MINUTE(BQ23))-((HOUR(BP23)*60)+MINUTE(BP23)),"")</f>
        <v/>
      </c>
      <c r="BX23" s="18" t="str">
        <f aca="false">IF(AND(LEN(BU23)&lt;&gt;0,LEN(BV23)&lt;&gt;0),((HOUR(BV23)*60)+MINUTE(BV23))-((HOUR(BU23)*60)+MINUTE(BU23)),"")</f>
        <v/>
      </c>
      <c r="CD23" s="18" t="str">
        <f aca="false">IF(AND(LEN(CA23)&lt;&gt;0,LEN(CB23)&lt;&gt;0),((HOUR(CB23)*60)+MINUTE(CB23))-((HOUR(CA23)*60)+MINUTE(CA23)),"")</f>
        <v/>
      </c>
      <c r="CI23" s="18" t="str">
        <f aca="false">IF(AND(LEN(CF23)&lt;&gt;0,LEN(CG23)&lt;&gt;0),((HOUR(CG23)*60)+MINUTE(CG23))-((HOUR(CF23)*60)+MINUTE(CF23)),"")</f>
        <v/>
      </c>
      <c r="CJ23" s="19" t="s">
        <v>30</v>
      </c>
      <c r="CK23" s="19" t="n">
        <v>0.702777777777778</v>
      </c>
      <c r="CL23" s="19" t="n">
        <v>0.722222222222222</v>
      </c>
      <c r="CM23" s="1" t="str">
        <f aca="false">"[""" &amp; CJ23 &amp; """, """ &amp; IF(CK23="","",TEXT(CK23,"h:mm")) &amp; """, """ &amp; IF(CL23="","",TEXT(CL23,"h:mm")) &amp; """],"</f>
        <v>["菱浦", "16:52", "17:20"],</v>
      </c>
      <c r="CN23" s="18" t="n">
        <f aca="false">IF(AND(LEN(CK23)&lt;&gt;0,LEN(CL23)&lt;&gt;0),((HOUR(CL23)*60)+MINUTE(CL23))-((HOUR(CK23)*60)+MINUTE(CK23)),"")</f>
        <v>28</v>
      </c>
      <c r="CO23" s="19" t="s">
        <v>30</v>
      </c>
      <c r="CP23" s="19" t="n">
        <v>0.704166666666667</v>
      </c>
      <c r="CQ23" s="19" t="n">
        <v>0.722222222222222</v>
      </c>
      <c r="CR23" s="1" t="str">
        <f aca="false">"[""" &amp; CO23 &amp; """, """ &amp; IF(CP23="","",TEXT(CP23,"h:mm")) &amp; """, """ &amp; IF(CQ23="","",TEXT(CQ23,"h:mm")) &amp; """],"</f>
        <v>["菱浦", "16:54", "17:20"],</v>
      </c>
      <c r="CS23" s="18" t="n">
        <f aca="false">IF(AND(LEN(CP23)&lt;&gt;0,LEN(CQ23)&lt;&gt;0),((HOUR(CQ23)*60)+MINUTE(CQ23))-((HOUR(CP23)*60)+MINUTE(CP23)),"")</f>
        <v>26</v>
      </c>
      <c r="CX23" s="1" t="s">
        <v>33</v>
      </c>
      <c r="CY23" s="18" t="str">
        <f aca="false">IF(AND(LEN(CV23)&lt;&gt;0,LEN(CW23)&lt;&gt;0),((HOUR(CW23)*60)+MINUTE(CW23))-((HOUR(CV23)*60)+MINUTE(CV23)),"")</f>
        <v/>
      </c>
      <c r="CZ23" s="19" t="s">
        <v>30</v>
      </c>
      <c r="DA23" s="19" t="n">
        <v>0.554166666666667</v>
      </c>
      <c r="DB23" s="19" t="n">
        <v>0.55625</v>
      </c>
      <c r="DC23" s="1" t="str">
        <f aca="false">"[""" &amp; CZ23 &amp; """, """ &amp; IF(DA23="","",TEXT(DA23,"h:mm")) &amp; """, """ &amp; IF(DB23="","",TEXT(DB23,"h:mm")) &amp; """],"</f>
        <v>["菱浦", "13:18", "13:21"],</v>
      </c>
      <c r="DD23" s="18" t="n">
        <f aca="false">IF(AND(LEN(DA23)&lt;&gt;0,LEN(DB23)&lt;&gt;0),((HOUR(DB23)*60)+MINUTE(DB23))-((HOUR(DA23)*60)+MINUTE(DA23)),"")</f>
        <v>3</v>
      </c>
      <c r="DE23" s="19" t="s">
        <v>30</v>
      </c>
      <c r="DF23" s="19" t="n">
        <v>0.554166666666667</v>
      </c>
      <c r="DG23" s="19" t="n">
        <v>0.55625</v>
      </c>
      <c r="DH23" s="1" t="str">
        <f aca="false">"[""" &amp; DE23 &amp; """, """ &amp; IF(DF23="","",TEXT(DF23,"h:mm")) &amp; """, """ &amp; IF(DG23="","",TEXT(DG23,"h:mm")) &amp; """],"</f>
        <v>["菱浦", "13:18", "13:21"],</v>
      </c>
      <c r="DI23" s="18" t="n">
        <f aca="false">IF(AND(LEN(DF23)&lt;&gt;0,LEN(DG23)&lt;&gt;0),((HOUR(DG23)*60)+MINUTE(DG23))-((HOUR(DF23)*60)+MINUTE(DF23)),"")</f>
        <v>3</v>
      </c>
      <c r="DJ23" s="19" t="s">
        <v>30</v>
      </c>
      <c r="DK23" s="19" t="n">
        <v>0.554166666666667</v>
      </c>
      <c r="DL23" s="19" t="n">
        <v>0.55625</v>
      </c>
      <c r="DM23" s="1" t="str">
        <f aca="false">"[""" &amp; DJ23 &amp; """, """ &amp; IF(DK23="","",TEXT(DK23,"h:mm")) &amp; """, """ &amp; IF(DL23="","",TEXT(DL23,"h:mm")) &amp; """],"</f>
        <v>["菱浦", "13:18", "13:21"],</v>
      </c>
      <c r="DN23" s="18" t="n">
        <f aca="false">IF(AND(LEN(DK23)&lt;&gt;0,LEN(DL23)&lt;&gt;0),((HOUR(DL23)*60)+MINUTE(DL23))-((HOUR(DK23)*60)+MINUTE(DK23)),"")</f>
        <v>3</v>
      </c>
      <c r="DO23" s="19" t="s">
        <v>30</v>
      </c>
      <c r="DP23" s="19" t="n">
        <v>0.554166666666667</v>
      </c>
      <c r="DQ23" s="19" t="n">
        <v>0.55625</v>
      </c>
      <c r="DR23" s="1" t="str">
        <f aca="false">"[""" &amp; DO23 &amp; """, """ &amp; IF(DP23="","",TEXT(DP23,"h:mm")) &amp; """, """ &amp; IF(DQ23="","",TEXT(DQ23,"h:mm")) &amp; """],"</f>
        <v>["菱浦", "13:18", "13:21"],</v>
      </c>
      <c r="DS23" s="18" t="n">
        <f aca="false">IF(AND(LEN(DP23)&lt;&gt;0,LEN(DQ23)&lt;&gt;0),((HOUR(DQ23)*60)+MINUTE(DQ23))-((HOUR(DP23)*60)+MINUTE(DP23)),"")</f>
        <v>3</v>
      </c>
      <c r="DX23" s="18"/>
      <c r="DY23" s="19" t="s">
        <v>30</v>
      </c>
      <c r="DZ23" s="19" t="n">
        <v>0.727083333333333</v>
      </c>
      <c r="EA23" s="29" t="n">
        <v>0.75625</v>
      </c>
      <c r="EB23" s="1" t="str">
        <f aca="false">"[""" &amp; DY23 &amp; """, """ &amp; IF(DZ23="","",TEXT(DZ23,"h:mm")) &amp; """, """ &amp; IF(EA23="","",TEXT(EA23,"h:mm")) &amp; """],"</f>
        <v>["菱浦", "17:27", "18:09"],</v>
      </c>
      <c r="EC23" s="18" t="n">
        <f aca="false">IF(AND(LEN(DZ23)&lt;&gt;0,LEN(EA23)&lt;&gt;0),((HOUR(EA23)*60)+MINUTE(EA23))-((HOUR(DZ23)*60)+MINUTE(DZ23)),"")</f>
        <v>42</v>
      </c>
      <c r="ED23" s="19" t="s">
        <v>30</v>
      </c>
      <c r="EE23" s="19" t="n">
        <v>0.727083333333333</v>
      </c>
      <c r="EF23" s="29" t="n">
        <v>0.75625</v>
      </c>
      <c r="EG23" s="1" t="str">
        <f aca="false">"[""" &amp; ED23 &amp; """, """ &amp; IF(EE23="","",TEXT(EE23,"h:mm")) &amp; """, """ &amp; IF(EF23="","",TEXT(EF23,"h:mm")) &amp; """],"</f>
        <v>["菱浦", "17:27", "18:09"],</v>
      </c>
      <c r="EH23" s="18" t="n">
        <f aca="false">IF(AND(LEN(EE23)&lt;&gt;0,LEN(EF23)&lt;&gt;0),((HOUR(EF23)*60)+MINUTE(EF23))-((HOUR(EE23)*60)+MINUTE(EE23)),"")</f>
        <v>42</v>
      </c>
      <c r="EI23" s="19" t="s">
        <v>30</v>
      </c>
      <c r="EJ23" s="19" t="n">
        <v>0.727083333333333</v>
      </c>
      <c r="EK23" s="29" t="n">
        <v>0.763194444444444</v>
      </c>
      <c r="EL23" s="1" t="str">
        <f aca="false">"[""" &amp; EI23 &amp; """, """ &amp; IF(EJ23="","",TEXT(EJ23,"h:mm")) &amp; """, """ &amp; IF(EK23="","",TEXT(EK23,"h:mm")) &amp; """],"</f>
        <v>["菱浦", "17:27", "18:19"],</v>
      </c>
      <c r="EM23" s="18" t="n">
        <f aca="false">IF(AND(LEN(EJ23)&lt;&gt;0,LEN(EK23)&lt;&gt;0),((HOUR(EK23)*60)+MINUTE(EK23))-((HOUR(EJ23)*60)+MINUTE(EJ23)),"")</f>
        <v>52</v>
      </c>
      <c r="EN23" s="19" t="s">
        <v>30</v>
      </c>
      <c r="EO23" s="19" t="n">
        <v>0.727083333333333</v>
      </c>
      <c r="EP23" s="29" t="n">
        <v>0.763194444444444</v>
      </c>
      <c r="EQ23" s="1" t="str">
        <f aca="false">"[""" &amp; EN23 &amp; """, """ &amp; IF(EO23="","",TEXT(EO23,"h:mm")) &amp; """, """ &amp; IF(EP23="","",TEXT(EP23,"h:mm")) &amp; """],"</f>
        <v>["菱浦", "17:27", "18:19"],</v>
      </c>
      <c r="ER23" s="18" t="n">
        <f aca="false">IF(AND(LEN(EO23)&lt;&gt;0,LEN(EP23)&lt;&gt;0),((HOUR(EP23)*60)+MINUTE(EP23))-((HOUR(EO23)*60)+MINUTE(EO23)),"")</f>
        <v>52</v>
      </c>
    </row>
    <row r="24" customFormat="false" ht="18" hidden="false" customHeight="false" outlineLevel="0" collapsed="false">
      <c r="E24" s="18" t="str">
        <f aca="false">IF(AND(LEN(B24)&lt;&gt;0,LEN(C24)&lt;&gt;0),((HOUR(C24)*60)+MINUTE(C24))-((HOUR(B24)*60)+MINUTE(B24)),"")</f>
        <v/>
      </c>
      <c r="J24" s="18" t="str">
        <f aca="false">IF(AND(LEN(G24)&lt;&gt;0,LEN(H24)&lt;&gt;0),((HOUR(H24)*60)+MINUTE(H24))-((HOUR(G24)*60)+MINUTE(G24)),"")</f>
        <v/>
      </c>
      <c r="O24" s="18" t="str">
        <f aca="false">IF(AND(LEN(L24)&lt;&gt;0,LEN(M24)&lt;&gt;0),((HOUR(M24)*60)+MINUTE(M24))-((HOUR(L24)*60)+MINUTE(L24)),"")</f>
        <v/>
      </c>
      <c r="T24" s="18" t="str">
        <f aca="false">IF(AND(LEN(Q24)&lt;&gt;0,LEN(R24)&lt;&gt;0),((HOUR(R24)*60)+MINUTE(R24))-((HOUR(Q24)*60)+MINUTE(Q24)),"")</f>
        <v/>
      </c>
      <c r="Y24" s="18" t="str">
        <f aca="false">IF(AND(LEN(V24)&lt;&gt;0,LEN(W24)&lt;&gt;0),((HOUR(W24)*60)+MINUTE(W24))-((HOUR(V24)*60)+MINUTE(V24)),"")</f>
        <v/>
      </c>
      <c r="AD24" s="18" t="str">
        <f aca="false">IF(AND(LEN(AA24)&lt;&gt;0,LEN(AB24)&lt;&gt;0),((HOUR(AB24)*60)+MINUTE(AB24))-((HOUR(AA24)*60)+MINUTE(AA24)),"")</f>
        <v/>
      </c>
      <c r="AI24" s="18" t="str">
        <f aca="false">IF(AND(LEN(AF24)&lt;&gt;0,LEN(AG24)&lt;&gt;0),((HOUR(AG24)*60)+MINUTE(AG24))-((HOUR(AF24)*60)+MINUTE(AF24)),"")</f>
        <v/>
      </c>
      <c r="AN24" s="18" t="str">
        <f aca="false">IF(AND(LEN(AK24)&lt;&gt;0,LEN(AL24)&lt;&gt;0),((HOUR(AL24)*60)+MINUTE(AL24))-((HOUR(AK24)*60)+MINUTE(AK24)),"")</f>
        <v/>
      </c>
      <c r="AS24" s="18" t="str">
        <f aca="false">IF(AND(LEN(AP24)&lt;&gt;0,LEN(AQ24)&lt;&gt;0),((HOUR(AQ24)*60)+MINUTE(AQ24))-((HOUR(AP24)*60)+MINUTE(AP24)),"")</f>
        <v/>
      </c>
      <c r="AX24" s="18" t="str">
        <f aca="false">IF(AND(LEN(AU24)&lt;&gt;0,LEN(AV24)&lt;&gt;0),((HOUR(AV24)*60)+MINUTE(AV24))-((HOUR(AU24)*60)+MINUTE(AU24)),"")</f>
        <v/>
      </c>
      <c r="BD24" s="18" t="str">
        <f aca="false">IF(AND(LEN(BA24)&lt;&gt;0,LEN(BB24)&lt;&gt;0),((HOUR(BB24)*60)+MINUTE(BB24))-((HOUR(BA24)*60)+MINUTE(BA24)),"")</f>
        <v/>
      </c>
      <c r="BI24" s="18" t="str">
        <f aca="false">IF(AND(LEN(BF24)&lt;&gt;0,LEN(BG24)&lt;&gt;0),((HOUR(BG24)*60)+MINUTE(BG24))-((HOUR(BF24)*60)+MINUTE(BF24)),"")</f>
        <v/>
      </c>
      <c r="BN24" s="18" t="str">
        <f aca="false">IF(AND(LEN(BK24)&lt;&gt;0,LEN(BL24)&lt;&gt;0),((HOUR(BL24)*60)+MINUTE(BL24))-((HOUR(BK24)*60)+MINUTE(BK24)),"")</f>
        <v/>
      </c>
      <c r="BS24" s="18" t="str">
        <f aca="false">IF(AND(LEN(BP24)&lt;&gt;0,LEN(BQ24)&lt;&gt;0),((HOUR(BQ24)*60)+MINUTE(BQ24))-((HOUR(BP24)*60)+MINUTE(BP24)),"")</f>
        <v/>
      </c>
      <c r="BX24" s="18" t="str">
        <f aca="false">IF(AND(LEN(BU24)&lt;&gt;0,LEN(BV24)&lt;&gt;0),((HOUR(BV24)*60)+MINUTE(BV24))-((HOUR(BU24)*60)+MINUTE(BU24)),"")</f>
        <v/>
      </c>
      <c r="CD24" s="18" t="str">
        <f aca="false">IF(AND(LEN(CA24)&lt;&gt;0,LEN(CB24)&lt;&gt;0),((HOUR(CB24)*60)+MINUTE(CB24))-((HOUR(CA24)*60)+MINUTE(CA24)),"")</f>
        <v/>
      </c>
      <c r="CI24" s="18" t="str">
        <f aca="false">IF(AND(LEN(CF24)&lt;&gt;0,LEN(CG24)&lt;&gt;0),((HOUR(CG24)*60)+MINUTE(CG24))-((HOUR(CF24)*60)+MINUTE(CF24)),"")</f>
        <v/>
      </c>
      <c r="CJ24" s="20" t="s">
        <v>29</v>
      </c>
      <c r="CK24" s="20" t="n">
        <v>0.732638888888889</v>
      </c>
      <c r="CL24" s="20" t="n">
        <v>0.736111111111111</v>
      </c>
      <c r="CM24" s="1" t="str">
        <f aca="false">"[""" &amp; CJ24 &amp; """, """ &amp; IF(CK24="","",TEXT(CK24,"h:mm")) &amp; """, """ &amp; IF(CL24="","",TEXT(CL24,"h:mm")) &amp; """],"</f>
        <v>["別府", "17:35", "17:40"],</v>
      </c>
      <c r="CN24" s="18" t="n">
        <f aca="false">IF(AND(LEN(CK24)&lt;&gt;0,LEN(CL24)&lt;&gt;0),((HOUR(CL24)*60)+MINUTE(CL24))-((HOUR(CK24)*60)+MINUTE(CK24)),"")</f>
        <v>5</v>
      </c>
      <c r="CO24" s="20" t="s">
        <v>29</v>
      </c>
      <c r="CP24" s="20" t="n">
        <v>0.732638888888889</v>
      </c>
      <c r="CQ24" s="20" t="n">
        <v>0.736111111111111</v>
      </c>
      <c r="CR24" s="1" t="str">
        <f aca="false">"[""" &amp; CO24 &amp; """, """ &amp; IF(CP24="","",TEXT(CP24,"h:mm")) &amp; """, """ &amp; IF(CQ24="","",TEXT(CQ24,"h:mm")) &amp; """],"</f>
        <v>["別府", "17:35", "17:40"],</v>
      </c>
      <c r="CS24" s="18" t="n">
        <f aca="false">IF(AND(LEN(CP24)&lt;&gt;0,LEN(CQ24)&lt;&gt;0),((HOUR(CQ24)*60)+MINUTE(CQ24))-((HOUR(CP24)*60)+MINUTE(CP24)),"")</f>
        <v>5</v>
      </c>
      <c r="CZ24" s="20" t="s">
        <v>29</v>
      </c>
      <c r="DA24" s="20" t="n">
        <v>0.561111111111111</v>
      </c>
      <c r="DB24" s="20" t="n">
        <v>0.5625</v>
      </c>
      <c r="DC24" s="1" t="str">
        <f aca="false">"[""" &amp; CZ24 &amp; """, """ &amp; IF(DA24="","",TEXT(DA24,"h:mm")) &amp; """, """ &amp; IF(DB24="","",TEXT(DB24,"h:mm")) &amp; """],"</f>
        <v>["別府", "13:28", "13:30"],</v>
      </c>
      <c r="DD24" s="18" t="n">
        <f aca="false">IF(AND(LEN(DA24)&lt;&gt;0,LEN(DB24)&lt;&gt;0),((HOUR(DB24)*60)+MINUTE(DB24))-((HOUR(DA24)*60)+MINUTE(DA24)),"")</f>
        <v>2</v>
      </c>
      <c r="DE24" s="20" t="s">
        <v>29</v>
      </c>
      <c r="DF24" s="20" t="n">
        <v>0.561111111111111</v>
      </c>
      <c r="DG24" s="20" t="n">
        <v>0.5625</v>
      </c>
      <c r="DH24" s="1" t="str">
        <f aca="false">"[""" &amp; DE24 &amp; """, """ &amp; IF(DF24="","",TEXT(DF24,"h:mm")) &amp; """, """ &amp; IF(DG24="","",TEXT(DG24,"h:mm")) &amp; """],"</f>
        <v>["別府", "13:28", "13:30"],</v>
      </c>
      <c r="DI24" s="18" t="n">
        <f aca="false">IF(AND(LEN(DF24)&lt;&gt;0,LEN(DG24)&lt;&gt;0),((HOUR(DG24)*60)+MINUTE(DG24))-((HOUR(DF24)*60)+MINUTE(DF24)),"")</f>
        <v>2</v>
      </c>
      <c r="DJ24" s="20" t="s">
        <v>29</v>
      </c>
      <c r="DK24" s="20" t="n">
        <v>0.561111111111111</v>
      </c>
      <c r="DL24" s="20" t="n">
        <v>0.5625</v>
      </c>
      <c r="DM24" s="1" t="str">
        <f aca="false">"[""" &amp; DJ24 &amp; """, """ &amp; IF(DK24="","",TEXT(DK24,"h:mm")) &amp; """, """ &amp; IF(DL24="","",TEXT(DL24,"h:mm")) &amp; """],"</f>
        <v>["別府", "13:28", "13:30"],</v>
      </c>
      <c r="DN24" s="18" t="n">
        <f aca="false">IF(AND(LEN(DK24)&lt;&gt;0,LEN(DL24)&lt;&gt;0),((HOUR(DL24)*60)+MINUTE(DL24))-((HOUR(DK24)*60)+MINUTE(DK24)),"")</f>
        <v>2</v>
      </c>
      <c r="DO24" s="20" t="s">
        <v>29</v>
      </c>
      <c r="DP24" s="20" t="n">
        <v>0.561111111111111</v>
      </c>
      <c r="DQ24" s="20" t="n">
        <v>0.5625</v>
      </c>
      <c r="DR24" s="1" t="str">
        <f aca="false">"[""" &amp; DO24 &amp; """, """ &amp; IF(DP24="","",TEXT(DP24,"h:mm")) &amp; """, """ &amp; IF(DQ24="","",TEXT(DQ24,"h:mm")) &amp; """],"</f>
        <v>["別府", "13:28", "13:30"],</v>
      </c>
      <c r="DS24" s="18" t="n">
        <f aca="false">IF(AND(LEN(DP24)&lt;&gt;0,LEN(DQ24)&lt;&gt;0),((HOUR(DQ24)*60)+MINUTE(DQ24))-((HOUR(DP24)*60)+MINUTE(DP24)),"")</f>
        <v>2</v>
      </c>
      <c r="DY24" s="20" t="s">
        <v>29</v>
      </c>
      <c r="DZ24" s="30" t="n">
        <v>0.761111111111111</v>
      </c>
      <c r="EA24" s="20" t="n">
        <v>0.783333333333333</v>
      </c>
      <c r="EB24" s="1" t="str">
        <f aca="false">"[""" &amp; DY24 &amp; """, """ &amp; IF(DZ24="","",TEXT(DZ24,"h:mm")) &amp; """, """ &amp; IF(EA24="","",TEXT(EA24,"h:mm")) &amp; """],"</f>
        <v>["別府", "18:16", "18:48"],</v>
      </c>
      <c r="EC24" s="18" t="n">
        <f aca="false">IF(AND(LEN(DZ24)&lt;&gt;0,LEN(EA24)&lt;&gt;0),((HOUR(EA24)*60)+MINUTE(EA24))-((HOUR(DZ24)*60)+MINUTE(DZ24)),"")</f>
        <v>32</v>
      </c>
      <c r="ED24" s="20" t="s">
        <v>29</v>
      </c>
      <c r="EE24" s="30" t="n">
        <v>0.761111111111111</v>
      </c>
      <c r="EF24" s="20" t="n">
        <v>0.783333333333333</v>
      </c>
      <c r="EG24" s="1" t="str">
        <f aca="false">"[""" &amp; ED24 &amp; """, """ &amp; IF(EE24="","",TEXT(EE24,"h:mm")) &amp; """, """ &amp; IF(EF24="","",TEXT(EF24,"h:mm")) &amp; """],"</f>
        <v>["別府", "18:16", "18:48"],</v>
      </c>
      <c r="EH24" s="18" t="n">
        <f aca="false">IF(AND(LEN(EE24)&lt;&gt;0,LEN(EF24)&lt;&gt;0),((HOUR(EF24)*60)+MINUTE(EF24))-((HOUR(EE24)*60)+MINUTE(EE24)),"")</f>
        <v>32</v>
      </c>
      <c r="EI24" s="20" t="s">
        <v>29</v>
      </c>
      <c r="EJ24" s="30" t="n">
        <v>0.768055555555556</v>
      </c>
      <c r="EK24" s="20" t="n">
        <v>0.783333333333333</v>
      </c>
      <c r="EL24" s="1" t="str">
        <f aca="false">"[""" &amp; EI24 &amp; """, """ &amp; IF(EJ24="","",TEXT(EJ24,"h:mm")) &amp; """, """ &amp; IF(EK24="","",TEXT(EK24,"h:mm")) &amp; """],"</f>
        <v>["別府", "18:26", "18:48"],</v>
      </c>
      <c r="EM24" s="18" t="n">
        <f aca="false">IF(AND(LEN(EJ24)&lt;&gt;0,LEN(EK24)&lt;&gt;0),((HOUR(EK24)*60)+MINUTE(EK24))-((HOUR(EJ24)*60)+MINUTE(EJ24)),"")</f>
        <v>22</v>
      </c>
      <c r="EN24" s="20" t="s">
        <v>29</v>
      </c>
      <c r="EO24" s="30" t="n">
        <v>0.768055555555556</v>
      </c>
      <c r="EP24" s="20" t="n">
        <v>0.783333333333333</v>
      </c>
      <c r="EQ24" s="1" t="str">
        <f aca="false">"[""" &amp; EN24 &amp; """, """ &amp; IF(EO24="","",TEXT(EO24,"h:mm")) &amp; """, """ &amp; IF(EP24="","",TEXT(EP24,"h:mm")) &amp; """],"</f>
        <v>["別府", "18:26", "18:48"],</v>
      </c>
      <c r="ER24" s="18" t="n">
        <f aca="false">IF(AND(LEN(EO24)&lt;&gt;0,LEN(EP24)&lt;&gt;0),((HOUR(EP24)*60)+MINUTE(EP24))-((HOUR(EO24)*60)+MINUTE(EO24)),"")</f>
        <v>22</v>
      </c>
    </row>
    <row r="25" customFormat="false" ht="18" hidden="false" customHeight="false" outlineLevel="0" collapsed="false">
      <c r="E25" s="18" t="str">
        <f aca="false">IF(AND(LEN(B25)&lt;&gt;0,LEN(C25)&lt;&gt;0),((HOUR(C25)*60)+MINUTE(C25))-((HOUR(B25)*60)+MINUTE(B25)),"")</f>
        <v/>
      </c>
      <c r="J25" s="18" t="str">
        <f aca="false">IF(AND(LEN(G25)&lt;&gt;0,LEN(H25)&lt;&gt;0),((HOUR(H25)*60)+MINUTE(H25))-((HOUR(G25)*60)+MINUTE(G25)),"")</f>
        <v/>
      </c>
      <c r="O25" s="18" t="str">
        <f aca="false">IF(AND(LEN(L25)&lt;&gt;0,LEN(M25)&lt;&gt;0),((HOUR(M25)*60)+MINUTE(M25))-((HOUR(L25)*60)+MINUTE(L25)),"")</f>
        <v/>
      </c>
      <c r="T25" s="18" t="str">
        <f aca="false">IF(AND(LEN(Q25)&lt;&gt;0,LEN(R25)&lt;&gt;0),((HOUR(R25)*60)+MINUTE(R25))-((HOUR(Q25)*60)+MINUTE(Q25)),"")</f>
        <v/>
      </c>
      <c r="Y25" s="18" t="str">
        <f aca="false">IF(AND(LEN(V25)&lt;&gt;0,LEN(W25)&lt;&gt;0),((HOUR(W25)*60)+MINUTE(W25))-((HOUR(V25)*60)+MINUTE(V25)),"")</f>
        <v/>
      </c>
      <c r="AD25" s="18" t="str">
        <f aca="false">IF(AND(LEN(AA25)&lt;&gt;0,LEN(AB25)&lt;&gt;0),((HOUR(AB25)*60)+MINUTE(AB25))-((HOUR(AA25)*60)+MINUTE(AA25)),"")</f>
        <v/>
      </c>
      <c r="AI25" s="18" t="str">
        <f aca="false">IF(AND(LEN(AF25)&lt;&gt;0,LEN(AG25)&lt;&gt;0),((HOUR(AG25)*60)+MINUTE(AG25))-((HOUR(AF25)*60)+MINUTE(AF25)),"")</f>
        <v/>
      </c>
      <c r="AN25" s="18" t="str">
        <f aca="false">IF(AND(LEN(AK25)&lt;&gt;0,LEN(AL25)&lt;&gt;0),((HOUR(AL25)*60)+MINUTE(AL25))-((HOUR(AK25)*60)+MINUTE(AK25)),"")</f>
        <v/>
      </c>
      <c r="AS25" s="18" t="str">
        <f aca="false">IF(AND(LEN(AP25)&lt;&gt;0,LEN(AQ25)&lt;&gt;0),((HOUR(AQ25)*60)+MINUTE(AQ25))-((HOUR(AP25)*60)+MINUTE(AP25)),"")</f>
        <v/>
      </c>
      <c r="AX25" s="18" t="str">
        <f aca="false">IF(AND(LEN(AU25)&lt;&gt;0,LEN(AV25)&lt;&gt;0),((HOUR(AV25)*60)+MINUTE(AV25))-((HOUR(AU25)*60)+MINUTE(AU25)),"")</f>
        <v/>
      </c>
      <c r="BD25" s="18" t="str">
        <f aca="false">IF(AND(LEN(BA25)&lt;&gt;0,LEN(BB25)&lt;&gt;0),((HOUR(BB25)*60)+MINUTE(BB25))-((HOUR(BA25)*60)+MINUTE(BA25)),"")</f>
        <v/>
      </c>
      <c r="BI25" s="18" t="str">
        <f aca="false">IF(AND(LEN(BF25)&lt;&gt;0,LEN(BG25)&lt;&gt;0),((HOUR(BG25)*60)+MINUTE(BG25))-((HOUR(BF25)*60)+MINUTE(BF25)),"")</f>
        <v/>
      </c>
      <c r="BN25" s="18" t="str">
        <f aca="false">IF(AND(LEN(BK25)&lt;&gt;0,LEN(BL25)&lt;&gt;0),((HOUR(BL25)*60)+MINUTE(BL25))-((HOUR(BK25)*60)+MINUTE(BK25)),"")</f>
        <v/>
      </c>
      <c r="BS25" s="18" t="str">
        <f aca="false">IF(AND(LEN(BP25)&lt;&gt;0,LEN(BQ25)&lt;&gt;0),((HOUR(BQ25)*60)+MINUTE(BQ25))-((HOUR(BP25)*60)+MINUTE(BP25)),"")</f>
        <v/>
      </c>
      <c r="BX25" s="18" t="str">
        <f aca="false">IF(AND(LEN(BU25)&lt;&gt;0,LEN(BV25)&lt;&gt;0),((HOUR(BV25)*60)+MINUTE(BV25))-((HOUR(BU25)*60)+MINUTE(BU25)),"")</f>
        <v/>
      </c>
      <c r="CD25" s="18" t="str">
        <f aca="false">IF(AND(LEN(CA25)&lt;&gt;0,LEN(CB25)&lt;&gt;0),((HOUR(CB25)*60)+MINUTE(CB25))-((HOUR(CA25)*60)+MINUTE(CA25)),"")</f>
        <v/>
      </c>
      <c r="CI25" s="18" t="str">
        <f aca="false">IF(AND(LEN(CF25)&lt;&gt;0,LEN(CG25)&lt;&gt;0),((HOUR(CG25)*60)+MINUTE(CG25))-((HOUR(CF25)*60)+MINUTE(CF25)),"")</f>
        <v/>
      </c>
      <c r="CJ25" s="19" t="s">
        <v>30</v>
      </c>
      <c r="CK25" s="19" t="n">
        <v>0.744444444444445</v>
      </c>
      <c r="CL25" s="19"/>
      <c r="CM25" s="1" t="str">
        <f aca="false">"[""" &amp; CJ25 &amp; """, """ &amp; IF(CK25="","",TEXT(CK25,"h:mm")) &amp; """, """ &amp; IF(CL25="","",TEXT(CL25,"h:mm")) &amp; """]"</f>
        <v>["菱浦", "17:52", ""]</v>
      </c>
      <c r="CN25" s="18" t="str">
        <f aca="false">IF(AND(LEN(CK25)&lt;&gt;0,LEN(CL25)&lt;&gt;0),((HOUR(CL25)*60)+MINUTE(CL25))-((HOUR(CK25)*60)+MINUTE(CK25)),"")</f>
        <v/>
      </c>
      <c r="CO25" s="19" t="s">
        <v>30</v>
      </c>
      <c r="CP25" s="19" t="n">
        <v>0.744444444444445</v>
      </c>
      <c r="CQ25" s="19"/>
      <c r="CR25" s="1" t="str">
        <f aca="false">"[""" &amp; CO25 &amp; """, """ &amp; IF(CP25="","",TEXT(CP25,"h:mm")) &amp; """, """ &amp; IF(CQ25="","",TEXT(CQ25,"h:mm")) &amp; """]"</f>
        <v>["菱浦", "17:52", ""]</v>
      </c>
      <c r="CS25" s="18" t="str">
        <f aca="false">IF(AND(LEN(CP25)&lt;&gt;0,LEN(CQ25)&lt;&gt;0),((HOUR(CQ25)*60)+MINUTE(CQ25))-((HOUR(CP25)*60)+MINUTE(CP25)),"")</f>
        <v/>
      </c>
      <c r="CZ25" s="21" t="s">
        <v>31</v>
      </c>
      <c r="DA25" s="22" t="n">
        <v>0.574305555555556</v>
      </c>
      <c r="DB25" s="22" t="n">
        <v>0.576388888888889</v>
      </c>
      <c r="DC25" s="1" t="str">
        <f aca="false">"[""" &amp; CZ25 &amp; """, """ &amp; IF(DA25="","",TEXT(DA25,"h:mm")) &amp; """, """ &amp; IF(DB25="","",TEXT(DB25,"h:mm")) &amp; """],"</f>
        <v>["来居", "13:47", "13:50"],</v>
      </c>
      <c r="DD25" s="18" t="n">
        <f aca="false">IF(AND(LEN(DA25)&lt;&gt;0,LEN(DB25)&lt;&gt;0),((HOUR(DB25)*60)+MINUTE(DB25))-((HOUR(DA25)*60)+MINUTE(DA25)),"")</f>
        <v>3</v>
      </c>
      <c r="DE25" s="21" t="s">
        <v>31</v>
      </c>
      <c r="DF25" s="22" t="n">
        <v>0.574305555555556</v>
      </c>
      <c r="DG25" s="22" t="n">
        <v>0.576388888888889</v>
      </c>
      <c r="DH25" s="1" t="str">
        <f aca="false">"[""" &amp; DE25 &amp; """, """ &amp; IF(DF25="","",TEXT(DF25,"h:mm")) &amp; """, """ &amp; IF(DG25="","",TEXT(DG25,"h:mm")) &amp; """],"</f>
        <v>["来居", "13:47", "13:50"],</v>
      </c>
      <c r="DI25" s="18" t="n">
        <f aca="false">IF(AND(LEN(DF25)&lt;&gt;0,LEN(DG25)&lt;&gt;0),((HOUR(DG25)*60)+MINUTE(DG25))-((HOUR(DF25)*60)+MINUTE(DF25)),"")</f>
        <v>3</v>
      </c>
      <c r="DJ25" s="21" t="s">
        <v>31</v>
      </c>
      <c r="DK25" s="22" t="n">
        <v>0.574305555555556</v>
      </c>
      <c r="DL25" s="22" t="n">
        <v>0.576388888888889</v>
      </c>
      <c r="DM25" s="1" t="str">
        <f aca="false">"[""" &amp; DJ25 &amp; """, """ &amp; IF(DK25="","",TEXT(DK25,"h:mm")) &amp; """, """ &amp; IF(DL25="","",TEXT(DL25,"h:mm")) &amp; """],"</f>
        <v>["来居", "13:47", "13:50"],</v>
      </c>
      <c r="DN25" s="18" t="n">
        <f aca="false">IF(AND(LEN(DK25)&lt;&gt;0,LEN(DL25)&lt;&gt;0),((HOUR(DL25)*60)+MINUTE(DL25))-((HOUR(DK25)*60)+MINUTE(DK25)),"")</f>
        <v>3</v>
      </c>
      <c r="DO25" s="21" t="s">
        <v>31</v>
      </c>
      <c r="DP25" s="22" t="n">
        <v>0.574305555555556</v>
      </c>
      <c r="DQ25" s="22" t="n">
        <v>0.576388888888889</v>
      </c>
      <c r="DR25" s="1" t="str">
        <f aca="false">"[""" &amp; DO25 &amp; """, """ &amp; IF(DP25="","",TEXT(DP25,"h:mm")) &amp; """, """ &amp; IF(DQ25="","",TEXT(DQ25,"h:mm")) &amp; """],"</f>
        <v>["来居", "13:47", "13:50"],</v>
      </c>
      <c r="DS25" s="18" t="n">
        <f aca="false">IF(AND(LEN(DP25)&lt;&gt;0,LEN(DQ25)&lt;&gt;0),((HOUR(DQ25)*60)+MINUTE(DQ25))-((HOUR(DP25)*60)+MINUTE(DP25)),"")</f>
        <v>3</v>
      </c>
      <c r="DY25" s="19" t="s">
        <v>30</v>
      </c>
      <c r="DZ25" s="19" t="n">
        <v>0.788888888888889</v>
      </c>
      <c r="EA25" s="19" t="n">
        <v>0.790277777777778</v>
      </c>
      <c r="EB25" s="1" t="str">
        <f aca="false">"[""" &amp; DY25 &amp; """, """ &amp; IF(DZ25="","",TEXT(DZ25,"h:mm")) &amp; """, """ &amp; IF(EA25="","",TEXT(EA25,"h:mm")) &amp; """],"</f>
        <v>["菱浦", "18:56", "18:58"],</v>
      </c>
      <c r="EC25" s="18" t="n">
        <f aca="false">IF(AND(LEN(DZ25)&lt;&gt;0,LEN(EA25)&lt;&gt;0),((HOUR(EA25)*60)+MINUTE(EA25))-((HOUR(DZ25)*60)+MINUTE(DZ25)),"")</f>
        <v>2</v>
      </c>
      <c r="ED25" s="19" t="s">
        <v>30</v>
      </c>
      <c r="EE25" s="19" t="n">
        <v>0.788888888888889</v>
      </c>
      <c r="EF25" s="19" t="n">
        <v>0.790277777777778</v>
      </c>
      <c r="EG25" s="1" t="str">
        <f aca="false">"[""" &amp; ED25 &amp; """, """ &amp; IF(EE25="","",TEXT(EE25,"h:mm")) &amp; """, """ &amp; IF(EF25="","",TEXT(EF25,"h:mm")) &amp; """],"</f>
        <v>["菱浦", "18:56", "18:58"],</v>
      </c>
      <c r="EH25" s="18" t="n">
        <f aca="false">IF(AND(LEN(EE25)&lt;&gt;0,LEN(EF25)&lt;&gt;0),((HOUR(EF25)*60)+MINUTE(EF25))-((HOUR(EE25)*60)+MINUTE(EE25)),"")</f>
        <v>2</v>
      </c>
      <c r="EI25" s="19" t="s">
        <v>30</v>
      </c>
      <c r="EJ25" s="19" t="n">
        <v>0.788888888888889</v>
      </c>
      <c r="EK25" s="19" t="n">
        <v>0.790277777777778</v>
      </c>
      <c r="EL25" s="1" t="str">
        <f aca="false">"[""" &amp; EI25 &amp; """, """ &amp; IF(EJ25="","",TEXT(EJ25,"h:mm")) &amp; """, """ &amp; IF(EK25="","",TEXT(EK25,"h:mm")) &amp; """],"</f>
        <v>["菱浦", "18:56", "18:58"],</v>
      </c>
      <c r="EM25" s="18" t="n">
        <f aca="false">IF(AND(LEN(EJ25)&lt;&gt;0,LEN(EK25)&lt;&gt;0),((HOUR(EK25)*60)+MINUTE(EK25))-((HOUR(EJ25)*60)+MINUTE(EJ25)),"")</f>
        <v>2</v>
      </c>
      <c r="EN25" s="19" t="s">
        <v>30</v>
      </c>
      <c r="EO25" s="19" t="n">
        <v>0.788888888888889</v>
      </c>
      <c r="EP25" s="19" t="n">
        <v>0.790277777777778</v>
      </c>
      <c r="EQ25" s="1" t="str">
        <f aca="false">"[""" &amp; EN25 &amp; """, """ &amp; IF(EO25="","",TEXT(EO25,"h:mm")) &amp; """, """ &amp; IF(EP25="","",TEXT(EP25,"h:mm")) &amp; """],"</f>
        <v>["菱浦", "18:56", "18:58"],</v>
      </c>
      <c r="ER25" s="18" t="n">
        <f aca="false">IF(AND(LEN(EO25)&lt;&gt;0,LEN(EP25)&lt;&gt;0),((HOUR(EP25)*60)+MINUTE(EP25))-((HOUR(EO25)*60)+MINUTE(EO25)),"")</f>
        <v>2</v>
      </c>
    </row>
    <row r="26" customFormat="false" ht="18" hidden="false" customHeight="false" outlineLevel="0" collapsed="false">
      <c r="E26" s="18" t="str">
        <f aca="false">IF(AND(LEN(B26)&lt;&gt;0,LEN(C26)&lt;&gt;0),((HOUR(C26)*60)+MINUTE(C26))-((HOUR(B26)*60)+MINUTE(B26)),"")</f>
        <v/>
      </c>
      <c r="J26" s="18" t="str">
        <f aca="false">IF(AND(LEN(G26)&lt;&gt;0,LEN(H26)&lt;&gt;0),((HOUR(H26)*60)+MINUTE(H26))-((HOUR(G26)*60)+MINUTE(G26)),"")</f>
        <v/>
      </c>
      <c r="O26" s="18" t="str">
        <f aca="false">IF(AND(LEN(L26)&lt;&gt;0,LEN(M26)&lt;&gt;0),((HOUR(M26)*60)+MINUTE(M26))-((HOUR(L26)*60)+MINUTE(L26)),"")</f>
        <v/>
      </c>
      <c r="T26" s="18" t="str">
        <f aca="false">IF(AND(LEN(Q26)&lt;&gt;0,LEN(R26)&lt;&gt;0),((HOUR(R26)*60)+MINUTE(R26))-((HOUR(Q26)*60)+MINUTE(Q26)),"")</f>
        <v/>
      </c>
      <c r="Y26" s="18" t="str">
        <f aca="false">IF(AND(LEN(V26)&lt;&gt;0,LEN(W26)&lt;&gt;0),((HOUR(W26)*60)+MINUTE(W26))-((HOUR(V26)*60)+MINUTE(V26)),"")</f>
        <v/>
      </c>
      <c r="AD26" s="18" t="str">
        <f aca="false">IF(AND(LEN(AA26)&lt;&gt;0,LEN(AB26)&lt;&gt;0),((HOUR(AB26)*60)+MINUTE(AB26))-((HOUR(AA26)*60)+MINUTE(AA26)),"")</f>
        <v/>
      </c>
      <c r="AI26" s="18" t="str">
        <f aca="false">IF(AND(LEN(AF26)&lt;&gt;0,LEN(AG26)&lt;&gt;0),((HOUR(AG26)*60)+MINUTE(AG26))-((HOUR(AF26)*60)+MINUTE(AF26)),"")</f>
        <v/>
      </c>
      <c r="AN26" s="18" t="str">
        <f aca="false">IF(AND(LEN(AK26)&lt;&gt;0,LEN(AL26)&lt;&gt;0),((HOUR(AL26)*60)+MINUTE(AL26))-((HOUR(AK26)*60)+MINUTE(AK26)),"")</f>
        <v/>
      </c>
      <c r="AS26" s="18" t="str">
        <f aca="false">IF(AND(LEN(AP26)&lt;&gt;0,LEN(AQ26)&lt;&gt;0),((HOUR(AQ26)*60)+MINUTE(AQ26))-((HOUR(AP26)*60)+MINUTE(AP26)),"")</f>
        <v/>
      </c>
      <c r="AX26" s="18" t="str">
        <f aca="false">IF(AND(LEN(AU26)&lt;&gt;0,LEN(AV26)&lt;&gt;0),((HOUR(AV26)*60)+MINUTE(AV26))-((HOUR(AU26)*60)+MINUTE(AU26)),"")</f>
        <v/>
      </c>
      <c r="BD26" s="18" t="str">
        <f aca="false">IF(AND(LEN(BA26)&lt;&gt;0,LEN(BB26)&lt;&gt;0),((HOUR(BB26)*60)+MINUTE(BB26))-((HOUR(BA26)*60)+MINUTE(BA26)),"")</f>
        <v/>
      </c>
      <c r="BI26" s="18" t="str">
        <f aca="false">IF(AND(LEN(BF26)&lt;&gt;0,LEN(BG26)&lt;&gt;0),((HOUR(BG26)*60)+MINUTE(BG26))-((HOUR(BF26)*60)+MINUTE(BF26)),"")</f>
        <v/>
      </c>
      <c r="BN26" s="18" t="str">
        <f aca="false">IF(AND(LEN(BK26)&lt;&gt;0,LEN(BL26)&lt;&gt;0),((HOUR(BL26)*60)+MINUTE(BL26))-((HOUR(BK26)*60)+MINUTE(BK26)),"")</f>
        <v/>
      </c>
      <c r="BS26" s="18" t="str">
        <f aca="false">IF(AND(LEN(BP26)&lt;&gt;0,LEN(BQ26)&lt;&gt;0),((HOUR(BQ26)*60)+MINUTE(BQ26))-((HOUR(BP26)*60)+MINUTE(BP26)),"")</f>
        <v/>
      </c>
      <c r="BX26" s="18" t="str">
        <f aca="false">IF(AND(LEN(BU26)&lt;&gt;0,LEN(BV26)&lt;&gt;0),((HOUR(BV26)*60)+MINUTE(BV26))-((HOUR(BU26)*60)+MINUTE(BU26)),"")</f>
        <v/>
      </c>
      <c r="CD26" s="18" t="str">
        <f aca="false">IF(AND(LEN(CA26)&lt;&gt;0,LEN(CB26)&lt;&gt;0),((HOUR(CB26)*60)+MINUTE(CB26))-((HOUR(CA26)*60)+MINUTE(CA26)),"")</f>
        <v/>
      </c>
      <c r="CI26" s="18" t="str">
        <f aca="false">IF(AND(LEN(CF26)&lt;&gt;0,LEN(CG26)&lt;&gt;0),((HOUR(CG26)*60)+MINUTE(CG26))-((HOUR(CF26)*60)+MINUTE(CF26)),"")</f>
        <v/>
      </c>
      <c r="CM26" s="1" t="s">
        <v>33</v>
      </c>
      <c r="CN26" s="18" t="str">
        <f aca="false">IF(AND(LEN(CK26)&lt;&gt;0,LEN(CL26)&lt;&gt;0),((HOUR(CL26)*60)+MINUTE(CL26))-((HOUR(CK26)*60)+MINUTE(CK26)),"")</f>
        <v/>
      </c>
      <c r="CR26" s="1" t="s">
        <v>33</v>
      </c>
      <c r="CS26" s="18" t="str">
        <f aca="false">IF(AND(LEN(CP26)&lt;&gt;0,LEN(CQ26)&lt;&gt;0),((HOUR(CQ26)*60)+MINUTE(CQ26))-((HOUR(CP26)*60)+MINUTE(CP26)),"")</f>
        <v/>
      </c>
      <c r="CZ26" s="20" t="s">
        <v>29</v>
      </c>
      <c r="DA26" s="20" t="n">
        <v>0.588194444444445</v>
      </c>
      <c r="DB26" s="20" t="n">
        <v>0.590277777777778</v>
      </c>
      <c r="DC26" s="1" t="str">
        <f aca="false">"[""" &amp; CZ26 &amp; """, """ &amp; IF(DA26="","",TEXT(DA26,"h:mm")) &amp; """, """ &amp; IF(DB26="","",TEXT(DB26,"h:mm")) &amp; """],"</f>
        <v>["別府", "14:07", "14:10"],</v>
      </c>
      <c r="DD26" s="18" t="n">
        <f aca="false">IF(AND(LEN(DA26)&lt;&gt;0,LEN(DB26)&lt;&gt;0),((HOUR(DB26)*60)+MINUTE(DB26))-((HOUR(DA26)*60)+MINUTE(DA26)),"")</f>
        <v>3</v>
      </c>
      <c r="DE26" s="20" t="s">
        <v>29</v>
      </c>
      <c r="DF26" s="20" t="n">
        <v>0.588194444444445</v>
      </c>
      <c r="DG26" s="20" t="n">
        <v>0.590277777777778</v>
      </c>
      <c r="DH26" s="1" t="str">
        <f aca="false">"[""" &amp; DE26 &amp; """, """ &amp; IF(DF26="","",TEXT(DF26,"h:mm")) &amp; """, """ &amp; IF(DG26="","",TEXT(DG26,"h:mm")) &amp; """],"</f>
        <v>["別府", "14:07", "14:10"],</v>
      </c>
      <c r="DI26" s="18" t="n">
        <f aca="false">IF(AND(LEN(DF26)&lt;&gt;0,LEN(DG26)&lt;&gt;0),((HOUR(DG26)*60)+MINUTE(DG26))-((HOUR(DF26)*60)+MINUTE(DF26)),"")</f>
        <v>3</v>
      </c>
      <c r="DJ26" s="20" t="s">
        <v>29</v>
      </c>
      <c r="DK26" s="20" t="n">
        <v>0.588194444444445</v>
      </c>
      <c r="DL26" s="20" t="n">
        <v>0.590277777777778</v>
      </c>
      <c r="DM26" s="1" t="str">
        <f aca="false">"[""" &amp; DJ26 &amp; """, """ &amp; IF(DK26="","",TEXT(DK26,"h:mm")) &amp; """, """ &amp; IF(DL26="","",TEXT(DL26,"h:mm")) &amp; """],"</f>
        <v>["別府", "14:07", "14:10"],</v>
      </c>
      <c r="DN26" s="18" t="n">
        <f aca="false">IF(AND(LEN(DK26)&lt;&gt;0,LEN(DL26)&lt;&gt;0),((HOUR(DL26)*60)+MINUTE(DL26))-((HOUR(DK26)*60)+MINUTE(DK26)),"")</f>
        <v>3</v>
      </c>
      <c r="DO26" s="20" t="s">
        <v>29</v>
      </c>
      <c r="DP26" s="20" t="n">
        <v>0.588194444444445</v>
      </c>
      <c r="DQ26" s="20" t="n">
        <v>0.590277777777778</v>
      </c>
      <c r="DR26" s="1" t="str">
        <f aca="false">"[""" &amp; DO26 &amp; """, """ &amp; IF(DP26="","",TEXT(DP26,"h:mm")) &amp; """, """ &amp; IF(DQ26="","",TEXT(DQ26,"h:mm")) &amp; """],"</f>
        <v>["別府", "14:07", "14:10"],</v>
      </c>
      <c r="DS26" s="18" t="n">
        <f aca="false">IF(AND(LEN(DP26)&lt;&gt;0,LEN(DQ26)&lt;&gt;0),((HOUR(DQ26)*60)+MINUTE(DQ26))-((HOUR(DP26)*60)+MINUTE(DP26)),"")</f>
        <v>3</v>
      </c>
      <c r="DY26" s="20" t="s">
        <v>29</v>
      </c>
      <c r="DZ26" s="20" t="n">
        <v>0.795833333333333</v>
      </c>
      <c r="EA26" s="20" t="n">
        <v>0.797222222222222</v>
      </c>
      <c r="EB26" s="1" t="str">
        <f aca="false">"[""" &amp; DY26 &amp; """, """ &amp; IF(DZ26="","",TEXT(DZ26,"h:mm")) &amp; """, """ &amp; IF(EA26="","",TEXT(EA26,"h:mm")) &amp; """],"</f>
        <v>["別府", "19:06", "19:08"],</v>
      </c>
      <c r="EC26" s="18" t="n">
        <f aca="false">IF(AND(LEN(DZ26)&lt;&gt;0,LEN(EA26)&lt;&gt;0),((HOUR(EA26)*60)+MINUTE(EA26))-((HOUR(DZ26)*60)+MINUTE(DZ26)),"")</f>
        <v>2</v>
      </c>
      <c r="ED26" s="20" t="s">
        <v>29</v>
      </c>
      <c r="EE26" s="20" t="n">
        <v>0.795833333333333</v>
      </c>
      <c r="EF26" s="20" t="n">
        <v>0.797222222222222</v>
      </c>
      <c r="EG26" s="1" t="str">
        <f aca="false">"[""" &amp; ED26 &amp; """, """ &amp; IF(EE26="","",TEXT(EE26,"h:mm")) &amp; """, """ &amp; IF(EF26="","",TEXT(EF26,"h:mm")) &amp; """],"</f>
        <v>["別府", "19:06", "19:08"],</v>
      </c>
      <c r="EH26" s="18" t="n">
        <f aca="false">IF(AND(LEN(EE26)&lt;&gt;0,LEN(EF26)&lt;&gt;0),((HOUR(EF26)*60)+MINUTE(EF26))-((HOUR(EE26)*60)+MINUTE(EE26)),"")</f>
        <v>2</v>
      </c>
      <c r="EI26" s="20" t="s">
        <v>29</v>
      </c>
      <c r="EJ26" s="20" t="n">
        <v>0.795833333333333</v>
      </c>
      <c r="EK26" s="20" t="n">
        <v>0.797222222222222</v>
      </c>
      <c r="EL26" s="1" t="str">
        <f aca="false">"[""" &amp; EI26 &amp; """, """ &amp; IF(EJ26="","",TEXT(EJ26,"h:mm")) &amp; """, """ &amp; IF(EK26="","",TEXT(EK26,"h:mm")) &amp; """],"</f>
        <v>["別府", "19:06", "19:08"],</v>
      </c>
      <c r="EM26" s="18" t="n">
        <f aca="false">IF(AND(LEN(EJ26)&lt;&gt;0,LEN(EK26)&lt;&gt;0),((HOUR(EK26)*60)+MINUTE(EK26))-((HOUR(EJ26)*60)+MINUTE(EJ26)),"")</f>
        <v>2</v>
      </c>
      <c r="EN26" s="20" t="s">
        <v>29</v>
      </c>
      <c r="EO26" s="20" t="n">
        <v>0.795833333333333</v>
      </c>
      <c r="EP26" s="20" t="n">
        <v>0.797222222222222</v>
      </c>
      <c r="EQ26" s="1" t="str">
        <f aca="false">"[""" &amp; EN26 &amp; """, """ &amp; IF(EO26="","",TEXT(EO26,"h:mm")) &amp; """, """ &amp; IF(EP26="","",TEXT(EP26,"h:mm")) &amp; """],"</f>
        <v>["別府", "19:06", "19:08"],</v>
      </c>
      <c r="ER26" s="18" t="n">
        <f aca="false">IF(AND(LEN(EO26)&lt;&gt;0,LEN(EP26)&lt;&gt;0),((HOUR(EP26)*60)+MINUTE(EP26))-((HOUR(EO26)*60)+MINUTE(EO26)),"")</f>
        <v>2</v>
      </c>
    </row>
    <row r="27" customFormat="false" ht="18" hidden="false" customHeight="false" outlineLevel="0" collapsed="false">
      <c r="CZ27" s="19" t="s">
        <v>30</v>
      </c>
      <c r="DA27" s="19" t="n">
        <v>0.595138888888889</v>
      </c>
      <c r="DB27" s="19" t="n">
        <v>0.600694444444444</v>
      </c>
      <c r="DC27" s="1" t="str">
        <f aca="false">"[""" &amp; CZ27 &amp; """, """ &amp; IF(DA27="","",TEXT(DA27,"h:mm")) &amp; """, """ &amp; IF(DB27="","",TEXT(DB27,"h:mm")) &amp; """],"</f>
        <v>["菱浦", "14:17", "14:25"],</v>
      </c>
      <c r="DD27" s="18" t="n">
        <f aca="false">IF(AND(LEN(DA27)&lt;&gt;0,LEN(DB27)&lt;&gt;0),((HOUR(DB27)*60)+MINUTE(DB27))-((HOUR(DA27)*60)+MINUTE(DA27)),"")</f>
        <v>8</v>
      </c>
      <c r="DE27" s="19" t="s">
        <v>30</v>
      </c>
      <c r="DF27" s="19" t="n">
        <v>0.595138888888889</v>
      </c>
      <c r="DG27" s="19" t="n">
        <v>0.596527777777778</v>
      </c>
      <c r="DH27" s="1" t="str">
        <f aca="false">"[""" &amp; DE27 &amp; """, """ &amp; IF(DF27="","",TEXT(DF27,"h:mm")) &amp; """, """ &amp; IF(DG27="","",TEXT(DG27,"h:mm")) &amp; """],"</f>
        <v>["菱浦", "14:17", "14:19"],</v>
      </c>
      <c r="DI27" s="18" t="n">
        <f aca="false">IF(AND(LEN(DF27)&lt;&gt;0,LEN(DG27)&lt;&gt;0),((HOUR(DG27)*60)+MINUTE(DG27))-((HOUR(DF27)*60)+MINUTE(DF27)),"")</f>
        <v>2</v>
      </c>
      <c r="DJ27" s="19" t="s">
        <v>30</v>
      </c>
      <c r="DK27" s="19" t="n">
        <v>0.595138888888889</v>
      </c>
      <c r="DL27" s="19" t="n">
        <v>0.600694444444444</v>
      </c>
      <c r="DM27" s="1" t="str">
        <f aca="false">"[""" &amp; DJ27 &amp; """, """ &amp; IF(DK27="","",TEXT(DK27,"h:mm")) &amp; """, """ &amp; IF(DL27="","",TEXT(DL27,"h:mm")) &amp; """],"</f>
        <v>["菱浦", "14:17", "14:25"],</v>
      </c>
      <c r="DN27" s="18" t="n">
        <f aca="false">IF(AND(LEN(DK27)&lt;&gt;0,LEN(DL27)&lt;&gt;0),((HOUR(DL27)*60)+MINUTE(DL27))-((HOUR(DK27)*60)+MINUTE(DK27)),"")</f>
        <v>8</v>
      </c>
      <c r="DO27" s="19" t="s">
        <v>30</v>
      </c>
      <c r="DP27" s="19" t="n">
        <v>0.595138888888889</v>
      </c>
      <c r="DQ27" s="19" t="n">
        <v>0.596527777777778</v>
      </c>
      <c r="DR27" s="1" t="str">
        <f aca="false">"[""" &amp; DO27 &amp; """, """ &amp; IF(DP27="","",TEXT(DP27,"h:mm")) &amp; """, """ &amp; IF(DQ27="","",TEXT(DQ27,"h:mm")) &amp; """],"</f>
        <v>["菱浦", "14:17", "14:19"],</v>
      </c>
      <c r="DS27" s="18" t="n">
        <f aca="false">IF(AND(LEN(DP27)&lt;&gt;0,LEN(DQ27)&lt;&gt;0),((HOUR(DQ27)*60)+MINUTE(DQ27))-((HOUR(DP27)*60)+MINUTE(DP27)),"")</f>
        <v>2</v>
      </c>
      <c r="DY27" s="19" t="s">
        <v>30</v>
      </c>
      <c r="DZ27" s="19" t="n">
        <v>0.802777777777778</v>
      </c>
      <c r="EA27" s="19" t="n">
        <v>0.828472222222222</v>
      </c>
      <c r="EB27" s="1" t="str">
        <f aca="false">"[""" &amp; DY27 &amp; """, """ &amp; IF(DZ27="","",TEXT(DZ27,"h:mm")) &amp; """, """ &amp; IF(EA27="","",TEXT(EA27,"h:mm")) &amp; """],"</f>
        <v>["菱浦", "19:16", "19:53"],</v>
      </c>
      <c r="EC27" s="18" t="n">
        <f aca="false">IF(AND(LEN(DZ27)&lt;&gt;0,LEN(EA27)&lt;&gt;0),((HOUR(EA27)*60)+MINUTE(EA27))-((HOUR(DZ27)*60)+MINUTE(DZ27)),"")</f>
        <v>37</v>
      </c>
      <c r="ED27" s="19" t="s">
        <v>30</v>
      </c>
      <c r="EE27" s="19" t="n">
        <v>0.802777777777778</v>
      </c>
      <c r="EF27" s="19" t="n">
        <v>0.828472222222222</v>
      </c>
      <c r="EG27" s="1" t="str">
        <f aca="false">"[""" &amp; ED27 &amp; """, """ &amp; IF(EE27="","",TEXT(EE27,"h:mm")) &amp; """, """ &amp; IF(EF27="","",TEXT(EF27,"h:mm")) &amp; """],"</f>
        <v>["菱浦", "19:16", "19:53"],</v>
      </c>
      <c r="EH27" s="18" t="n">
        <f aca="false">IF(AND(LEN(EE27)&lt;&gt;0,LEN(EF27)&lt;&gt;0),((HOUR(EF27)*60)+MINUTE(EF27))-((HOUR(EE27)*60)+MINUTE(EE27)),"")</f>
        <v>37</v>
      </c>
      <c r="EI27" s="19" t="s">
        <v>30</v>
      </c>
      <c r="EJ27" s="19" t="n">
        <v>0.802777777777778</v>
      </c>
      <c r="EK27" s="19" t="n">
        <v>0.828472222222222</v>
      </c>
      <c r="EL27" s="1" t="str">
        <f aca="false">"[""" &amp; EI27 &amp; """, """ &amp; IF(EJ27="","",TEXT(EJ27,"h:mm")) &amp; """, """ &amp; IF(EK27="","",TEXT(EK27,"h:mm")) &amp; """],"</f>
        <v>["菱浦", "19:16", "19:53"],</v>
      </c>
      <c r="EM27" s="18" t="n">
        <f aca="false">IF(AND(LEN(EJ27)&lt;&gt;0,LEN(EK27)&lt;&gt;0),((HOUR(EK27)*60)+MINUTE(EK27))-((HOUR(EJ27)*60)+MINUTE(EJ27)),"")</f>
        <v>37</v>
      </c>
      <c r="EN27" s="19" t="s">
        <v>30</v>
      </c>
      <c r="EO27" s="19" t="n">
        <v>0.802777777777778</v>
      </c>
      <c r="EP27" s="19" t="n">
        <v>0.828472222222222</v>
      </c>
      <c r="EQ27" s="1" t="str">
        <f aca="false">"[""" &amp; EN27 &amp; """, """ &amp; IF(EO27="","",TEXT(EO27,"h:mm")) &amp; """, """ &amp; IF(EP27="","",TEXT(EP27,"h:mm")) &amp; """],"</f>
        <v>["菱浦", "19:16", "19:53"],</v>
      </c>
      <c r="ER27" s="18" t="n">
        <f aca="false">IF(AND(LEN(EO27)&lt;&gt;0,LEN(EP27)&lt;&gt;0),((HOUR(EP27)*60)+MINUTE(EP27))-((HOUR(EO27)*60)+MINUTE(EO27)),"")</f>
        <v>37</v>
      </c>
    </row>
    <row r="28" customFormat="false" ht="18" hidden="false" customHeight="false" outlineLevel="0" collapsed="false">
      <c r="CZ28" s="20" t="s">
        <v>29</v>
      </c>
      <c r="DA28" s="20" t="n">
        <v>0.605555555555556</v>
      </c>
      <c r="DB28" s="20" t="n">
        <v>0.618055555555556</v>
      </c>
      <c r="DC28" s="1" t="str">
        <f aca="false">"[""" &amp; CZ28 &amp; """, """ &amp; IF(DA28="","",TEXT(DA28,"h:mm")) &amp; """, """ &amp; IF(DB28="","",TEXT(DB28,"h:mm")) &amp; """],"</f>
        <v>["別府", "14:32", "14:50"],</v>
      </c>
      <c r="DD28" s="18" t="n">
        <f aca="false">IF(AND(LEN(DA28)&lt;&gt;0,LEN(DB28)&lt;&gt;0),((HOUR(DB28)*60)+MINUTE(DB28))-((HOUR(DA28)*60)+MINUTE(DA28)),"")</f>
        <v>18</v>
      </c>
      <c r="DE28" s="21" t="s">
        <v>31</v>
      </c>
      <c r="DF28" s="22" t="n">
        <v>0.609027777777778</v>
      </c>
      <c r="DG28" s="22" t="n">
        <v>0.625</v>
      </c>
      <c r="DH28" s="1" t="str">
        <f aca="false">"[""" &amp; DE28 &amp; """, """ &amp; IF(DF28="","",TEXT(DF28,"h:mm")) &amp; """, """ &amp; IF(DG28="","",TEXT(DG28,"h:mm")) &amp; """],"</f>
        <v>["来居", "14:37", "15:00"],</v>
      </c>
      <c r="DI28" s="18" t="n">
        <f aca="false">IF(AND(LEN(DF28)&lt;&gt;0,LEN(DG28)&lt;&gt;0),((HOUR(DG28)*60)+MINUTE(DG28))-((HOUR(DF28)*60)+MINUTE(DF28)),"")</f>
        <v>23</v>
      </c>
      <c r="DJ28" s="20" t="s">
        <v>29</v>
      </c>
      <c r="DK28" s="20" t="n">
        <v>0.605555555555556</v>
      </c>
      <c r="DL28" s="20" t="n">
        <v>0.618055555555556</v>
      </c>
      <c r="DM28" s="1" t="str">
        <f aca="false">"[""" &amp; DJ28 &amp; """, """ &amp; IF(DK28="","",TEXT(DK28,"h:mm")) &amp; """, """ &amp; IF(DL28="","",TEXT(DL28,"h:mm")) &amp; """],"</f>
        <v>["別府", "14:32", "14:50"],</v>
      </c>
      <c r="DN28" s="18" t="n">
        <f aca="false">IF(AND(LEN(DK28)&lt;&gt;0,LEN(DL28)&lt;&gt;0),((HOUR(DL28)*60)+MINUTE(DL28))-((HOUR(DK28)*60)+MINUTE(DK28)),"")</f>
        <v>18</v>
      </c>
      <c r="DO28" s="21" t="s">
        <v>31</v>
      </c>
      <c r="DP28" s="22" t="n">
        <v>0.609027777777778</v>
      </c>
      <c r="DQ28" s="22" t="n">
        <v>0.625</v>
      </c>
      <c r="DR28" s="1" t="str">
        <f aca="false">"[""" &amp; DO28 &amp; """, """ &amp; IF(DP28="","",TEXT(DP28,"h:mm")) &amp; """, """ &amp; IF(DQ28="","",TEXT(DQ28,"h:mm")) &amp; """],"</f>
        <v>["来居", "14:37", "15:00"],</v>
      </c>
      <c r="DS28" s="18" t="n">
        <f aca="false">IF(AND(LEN(DP28)&lt;&gt;0,LEN(DQ28)&lt;&gt;0),((HOUR(DQ28)*60)+MINUTE(DQ28))-((HOUR(DP28)*60)+MINUTE(DP28)),"")</f>
        <v>23</v>
      </c>
      <c r="DY28" s="20" t="s">
        <v>29</v>
      </c>
      <c r="DZ28" s="20" t="n">
        <v>0.834027777777778</v>
      </c>
      <c r="EA28" s="20" t="n">
        <v>0.838194444444445</v>
      </c>
      <c r="EB28" s="1" t="str">
        <f aca="false">"[""" &amp; DY28 &amp; """, """ &amp; IF(DZ28="","",TEXT(DZ28,"h:mm")) &amp; """, """ &amp; IF(EA28="","",TEXT(EA28,"h:mm")) &amp; """],"</f>
        <v>["別府", "20:01", "20:07"],</v>
      </c>
      <c r="EC28" s="18" t="n">
        <f aca="false">IF(AND(LEN(DZ28)&lt;&gt;0,LEN(EA28)&lt;&gt;0),((HOUR(EA28)*60)+MINUTE(EA28))-((HOUR(DZ28)*60)+MINUTE(DZ28)),"")</f>
        <v>6</v>
      </c>
      <c r="ED28" s="20" t="s">
        <v>29</v>
      </c>
      <c r="EE28" s="20" t="n">
        <v>0.834027777777778</v>
      </c>
      <c r="EF28" s="20" t="n">
        <v>0.838194444444445</v>
      </c>
      <c r="EG28" s="1" t="str">
        <f aca="false">"[""" &amp; ED28 &amp; """, """ &amp; IF(EE28="","",TEXT(EE28,"h:mm")) &amp; """, """ &amp; IF(EF28="","",TEXT(EF28,"h:mm")) &amp; """],"</f>
        <v>["別府", "20:01", "20:07"],</v>
      </c>
      <c r="EH28" s="18" t="n">
        <f aca="false">IF(AND(LEN(EE28)&lt;&gt;0,LEN(EF28)&lt;&gt;0),((HOUR(EF28)*60)+MINUTE(EF28))-((HOUR(EE28)*60)+MINUTE(EE28)),"")</f>
        <v>6</v>
      </c>
      <c r="EI28" s="20" t="s">
        <v>29</v>
      </c>
      <c r="EJ28" s="20" t="n">
        <v>0.834027777777778</v>
      </c>
      <c r="EK28" s="20" t="n">
        <v>0.838194444444445</v>
      </c>
      <c r="EL28" s="1" t="str">
        <f aca="false">"[""" &amp; EI28 &amp; """, """ &amp; IF(EJ28="","",TEXT(EJ28,"h:mm")) &amp; """, """ &amp; IF(EK28="","",TEXT(EK28,"h:mm")) &amp; """],"</f>
        <v>["別府", "20:01", "20:07"],</v>
      </c>
      <c r="EM28" s="18" t="n">
        <f aca="false">IF(AND(LEN(EJ28)&lt;&gt;0,LEN(EK28)&lt;&gt;0),((HOUR(EK28)*60)+MINUTE(EK28))-((HOUR(EJ28)*60)+MINUTE(EJ28)),"")</f>
        <v>6</v>
      </c>
      <c r="EN28" s="20" t="s">
        <v>29</v>
      </c>
      <c r="EO28" s="20" t="n">
        <v>0.834027777777778</v>
      </c>
      <c r="EP28" s="20" t="n">
        <v>0.838194444444445</v>
      </c>
      <c r="EQ28" s="1" t="str">
        <f aca="false">"[""" &amp; EN28 &amp; """, """ &amp; IF(EO28="","",TEXT(EO28,"h:mm")) &amp; """, """ &amp; IF(EP28="","",TEXT(EP28,"h:mm")) &amp; """],"</f>
        <v>["別府", "20:01", "20:07"],</v>
      </c>
      <c r="ER28" s="18" t="n">
        <f aca="false">IF(AND(LEN(EO28)&lt;&gt;0,LEN(EP28)&lt;&gt;0),((HOUR(EP28)*60)+MINUTE(EP28))-((HOUR(EO28)*60)+MINUTE(EO28)),"")</f>
        <v>6</v>
      </c>
    </row>
    <row r="29" customFormat="false" ht="18" hidden="false" customHeight="false" outlineLevel="0" collapsed="false">
      <c r="CZ29" s="21" t="s">
        <v>31</v>
      </c>
      <c r="DA29" s="22" t="n">
        <v>0.629861111111111</v>
      </c>
      <c r="DB29" s="22" t="n">
        <v>0.634027777777778</v>
      </c>
      <c r="DC29" s="1" t="str">
        <f aca="false">"[""" &amp; CZ29 &amp; """, """ &amp; IF(DA29="","",TEXT(DA29,"h:mm")) &amp; """, """ &amp; IF(DB29="","",TEXT(DB29,"h:mm")) &amp; """],"</f>
        <v>["来居", "15:07", "15:13"],</v>
      </c>
      <c r="DD29" s="18" t="n">
        <f aca="false">IF(AND(LEN(DA29)&lt;&gt;0,LEN(DB29)&lt;&gt;0),((HOUR(DB29)*60)+MINUTE(DB29))-((HOUR(DA29)*60)+MINUTE(DA29)),"")</f>
        <v>6</v>
      </c>
      <c r="DE29" s="20" t="s">
        <v>29</v>
      </c>
      <c r="DF29" s="20" t="n">
        <v>0.636805555555556</v>
      </c>
      <c r="DG29" s="20" t="n">
        <v>0.645833333333333</v>
      </c>
      <c r="DH29" s="1" t="str">
        <f aca="false">"[""" &amp; DE29 &amp; """, """ &amp; IF(DF29="","",TEXT(DF29,"h:mm")) &amp; """, """ &amp; IF(DG29="","",TEXT(DG29,"h:mm")) &amp; """],"</f>
        <v>["別府", "15:17", "15:30"],</v>
      </c>
      <c r="DI29" s="18" t="n">
        <f aca="false">IF(AND(LEN(DF29)&lt;&gt;0,LEN(DG29)&lt;&gt;0),((HOUR(DG29)*60)+MINUTE(DG29))-((HOUR(DF29)*60)+MINUTE(DF29)),"")</f>
        <v>13</v>
      </c>
      <c r="DJ29" s="21" t="s">
        <v>31</v>
      </c>
      <c r="DK29" s="22" t="n">
        <v>0.629861111111111</v>
      </c>
      <c r="DL29" s="22" t="n">
        <v>0.634027777777778</v>
      </c>
      <c r="DM29" s="1" t="str">
        <f aca="false">"[""" &amp; DJ29 &amp; """, """ &amp; IF(DK29="","",TEXT(DK29,"h:mm")) &amp; """, """ &amp; IF(DL29="","",TEXT(DL29,"h:mm")) &amp; """],"</f>
        <v>["来居", "15:07", "15:13"],</v>
      </c>
      <c r="DN29" s="18" t="n">
        <f aca="false">IF(AND(LEN(DK29)&lt;&gt;0,LEN(DL29)&lt;&gt;0),((HOUR(DL29)*60)+MINUTE(DL29))-((HOUR(DK29)*60)+MINUTE(DK29)),"")</f>
        <v>6</v>
      </c>
      <c r="DO29" s="20" t="s">
        <v>29</v>
      </c>
      <c r="DP29" s="20" t="n">
        <v>0.636805555555556</v>
      </c>
      <c r="DQ29" s="20" t="n">
        <v>0.645833333333333</v>
      </c>
      <c r="DR29" s="1" t="str">
        <f aca="false">"[""" &amp; DO29 &amp; """, """ &amp; IF(DP29="","",TEXT(DP29,"h:mm")) &amp; """, """ &amp; IF(DQ29="","",TEXT(DQ29,"h:mm")) &amp; """],"</f>
        <v>["別府", "15:17", "15:30"],</v>
      </c>
      <c r="DS29" s="18" t="n">
        <f aca="false">IF(AND(LEN(DP29)&lt;&gt;0,LEN(DQ29)&lt;&gt;0),((HOUR(DQ29)*60)+MINUTE(DQ29))-((HOUR(DP29)*60)+MINUTE(DP29)),"")</f>
        <v>13</v>
      </c>
      <c r="DY29" s="19" t="s">
        <v>30</v>
      </c>
      <c r="DZ29" s="19" t="n">
        <v>0.84375</v>
      </c>
      <c r="EA29" s="19" t="n">
        <v>0.877083333333333</v>
      </c>
      <c r="EB29" s="1" t="str">
        <f aca="false">"[""" &amp; DY29 &amp; """, """ &amp; IF(DZ29="","",TEXT(DZ29,"h:mm")) &amp; """, """ &amp; IF(EA29="","",TEXT(EA29,"h:mm")) &amp; """],"</f>
        <v>["菱浦", "20:15", "21:03"],</v>
      </c>
      <c r="EC29" s="18" t="n">
        <f aca="false">IF(AND(LEN(DZ29)&lt;&gt;0,LEN(EA29)&lt;&gt;0),((HOUR(EA29)*60)+MINUTE(EA29))-((HOUR(DZ29)*60)+MINUTE(DZ29)),"")</f>
        <v>48</v>
      </c>
      <c r="ED29" s="19" t="s">
        <v>30</v>
      </c>
      <c r="EE29" s="19" t="n">
        <v>0.84375</v>
      </c>
      <c r="EF29" s="19" t="n">
        <v>0.877083333333333</v>
      </c>
      <c r="EG29" s="1" t="str">
        <f aca="false">"[""" &amp; ED29 &amp; """, """ &amp; IF(EE29="","",TEXT(EE29,"h:mm")) &amp; """, """ &amp; IF(EF29="","",TEXT(EF29,"h:mm")) &amp; """],"</f>
        <v>["菱浦", "20:15", "21:03"],</v>
      </c>
      <c r="EH29" s="18" t="n">
        <f aca="false">IF(AND(LEN(EE29)&lt;&gt;0,LEN(EF29)&lt;&gt;0),((HOUR(EF29)*60)+MINUTE(EF29))-((HOUR(EE29)*60)+MINUTE(EE29)),"")</f>
        <v>48</v>
      </c>
      <c r="EI29" s="19" t="s">
        <v>30</v>
      </c>
      <c r="EJ29" s="19" t="n">
        <v>0.84375</v>
      </c>
      <c r="EK29" s="19" t="n">
        <v>0.877083333333333</v>
      </c>
      <c r="EL29" s="1" t="str">
        <f aca="false">"[""" &amp; EI29 &amp; """, """ &amp; IF(EJ29="","",TEXT(EJ29,"h:mm")) &amp; """, """ &amp; IF(EK29="","",TEXT(EK29,"h:mm")) &amp; """],"</f>
        <v>["菱浦", "20:15", "21:03"],</v>
      </c>
      <c r="EM29" s="18" t="n">
        <f aca="false">IF(AND(LEN(EJ29)&lt;&gt;0,LEN(EK29)&lt;&gt;0),((HOUR(EK29)*60)+MINUTE(EK29))-((HOUR(EJ29)*60)+MINUTE(EJ29)),"")</f>
        <v>48</v>
      </c>
      <c r="EN29" s="19" t="s">
        <v>30</v>
      </c>
      <c r="EO29" s="19" t="n">
        <v>0.84375</v>
      </c>
      <c r="EP29" s="19" t="n">
        <v>0.877083333333333</v>
      </c>
      <c r="EQ29" s="1" t="str">
        <f aca="false">"[""" &amp; EN29 &amp; """, """ &amp; IF(EO29="","",TEXT(EO29,"h:mm")) &amp; """, """ &amp; IF(EP29="","",TEXT(EP29,"h:mm")) &amp; """],"</f>
        <v>["菱浦", "20:15", "21:03"],</v>
      </c>
      <c r="ER29" s="18" t="n">
        <f aca="false">IF(AND(LEN(EO29)&lt;&gt;0,LEN(EP29)&lt;&gt;0),((HOUR(EP29)*60)+MINUTE(EP29))-((HOUR(EO29)*60)+MINUTE(EO29)),"")</f>
        <v>48</v>
      </c>
    </row>
    <row r="30" customFormat="false" ht="18" hidden="false" customHeight="false" outlineLevel="0" collapsed="false">
      <c r="CZ30" s="19" t="s">
        <v>30</v>
      </c>
      <c r="DA30" s="19" t="n">
        <v>0.646527777777778</v>
      </c>
      <c r="DB30" s="19" t="n">
        <v>0.652777777777778</v>
      </c>
      <c r="DC30" s="1" t="str">
        <f aca="false">"[""" &amp; CZ30 &amp; """, """ &amp; IF(DA30="","",TEXT(DA30,"h:mm")) &amp; """, """ &amp; IF(DB30="","",TEXT(DB30,"h:mm")) &amp; """],"</f>
        <v>["菱浦", "15:31", "15:40"],</v>
      </c>
      <c r="DD30" s="18" t="n">
        <f aca="false">IF(AND(LEN(DA30)&lt;&gt;0,LEN(DB30)&lt;&gt;0),((HOUR(DB30)*60)+MINUTE(DB30))-((HOUR(DA30)*60)+MINUTE(DA30)),"")</f>
        <v>9</v>
      </c>
      <c r="DE30" s="19" t="s">
        <v>30</v>
      </c>
      <c r="DF30" s="19" t="n">
        <v>0.650694444444445</v>
      </c>
      <c r="DG30" s="19" t="n">
        <v>0.652777777777778</v>
      </c>
      <c r="DH30" s="1" t="str">
        <f aca="false">"[""" &amp; DE30 &amp; """, """ &amp; IF(DF30="","",TEXT(DF30,"h:mm")) &amp; """, """ &amp; IF(DG30="","",TEXT(DG30,"h:mm")) &amp; """],"</f>
        <v>["菱浦", "15:37", "15:40"],</v>
      </c>
      <c r="DI30" s="18" t="n">
        <f aca="false">IF(AND(LEN(DF30)&lt;&gt;0,LEN(DG30)&lt;&gt;0),((HOUR(DG30)*60)+MINUTE(DG30))-((HOUR(DF30)*60)+MINUTE(DF30)),"")</f>
        <v>3</v>
      </c>
      <c r="DJ30" s="19" t="s">
        <v>30</v>
      </c>
      <c r="DK30" s="19" t="n">
        <v>0.646527777777778</v>
      </c>
      <c r="DL30" s="19" t="n">
        <v>0.652777777777778</v>
      </c>
      <c r="DM30" s="1" t="str">
        <f aca="false">"[""" &amp; DJ30 &amp; """, """ &amp; IF(DK30="","",TEXT(DK30,"h:mm")) &amp; """, """ &amp; IF(DL30="","",TEXT(DL30,"h:mm")) &amp; """],"</f>
        <v>["菱浦", "15:31", "15:40"],</v>
      </c>
      <c r="DN30" s="18" t="n">
        <f aca="false">IF(AND(LEN(DK30)&lt;&gt;0,LEN(DL30)&lt;&gt;0),((HOUR(DL30)*60)+MINUTE(DL30))-((HOUR(DK30)*60)+MINUTE(DK30)),"")</f>
        <v>9</v>
      </c>
      <c r="DO30" s="19" t="s">
        <v>30</v>
      </c>
      <c r="DP30" s="19" t="n">
        <v>0.650694444444445</v>
      </c>
      <c r="DQ30" s="19" t="n">
        <v>0.652777777777778</v>
      </c>
      <c r="DR30" s="1" t="str">
        <f aca="false">"[""" &amp; DO30 &amp; """, """ &amp; IF(DP30="","",TEXT(DP30,"h:mm")) &amp; """, """ &amp; IF(DQ30="","",TEXT(DQ30,"h:mm")) &amp; """],"</f>
        <v>["菱浦", "15:37", "15:40"],</v>
      </c>
      <c r="DS30" s="18" t="n">
        <f aca="false">IF(AND(LEN(DP30)&lt;&gt;0,LEN(DQ30)&lt;&gt;0),((HOUR(DQ30)*60)+MINUTE(DQ30))-((HOUR(DP30)*60)+MINUTE(DP30)),"")</f>
        <v>3</v>
      </c>
      <c r="DY30" s="20" t="s">
        <v>29</v>
      </c>
      <c r="DZ30" s="20" t="n">
        <v>0.882638888888889</v>
      </c>
      <c r="EA30" s="20" t="n">
        <v>0.884027777777778</v>
      </c>
      <c r="EB30" s="1" t="str">
        <f aca="false">"[""" &amp; DY30 &amp; """, """ &amp; IF(DZ30="","",TEXT(DZ30,"h:mm")) &amp; """, """ &amp; IF(EA30="","",TEXT(EA30,"h:mm")) &amp; """],"</f>
        <v>["別府", "21:11", "21:13"],</v>
      </c>
      <c r="EC30" s="18" t="n">
        <f aca="false">IF(AND(LEN(DZ30)&lt;&gt;0,LEN(EA30)&lt;&gt;0),((HOUR(EA30)*60)+MINUTE(EA30))-((HOUR(DZ30)*60)+MINUTE(DZ30)),"")</f>
        <v>2</v>
      </c>
      <c r="ED30" s="20" t="s">
        <v>29</v>
      </c>
      <c r="EE30" s="20" t="n">
        <v>0.882638888888889</v>
      </c>
      <c r="EF30" s="20" t="n">
        <v>0.884027777777778</v>
      </c>
      <c r="EG30" s="1" t="str">
        <f aca="false">"[""" &amp; ED30 &amp; """, """ &amp; IF(EE30="","",TEXT(EE30,"h:mm")) &amp; """, """ &amp; IF(EF30="","",TEXT(EF30,"h:mm")) &amp; """],"</f>
        <v>["別府", "21:11", "21:13"],</v>
      </c>
      <c r="EH30" s="18" t="n">
        <f aca="false">IF(AND(LEN(EE30)&lt;&gt;0,LEN(EF30)&lt;&gt;0),((HOUR(EF30)*60)+MINUTE(EF30))-((HOUR(EE30)*60)+MINUTE(EE30)),"")</f>
        <v>2</v>
      </c>
      <c r="EI30" s="20" t="s">
        <v>29</v>
      </c>
      <c r="EJ30" s="20" t="n">
        <v>0.882638888888889</v>
      </c>
      <c r="EK30" s="20" t="n">
        <v>0.884027777777778</v>
      </c>
      <c r="EL30" s="1" t="str">
        <f aca="false">"[""" &amp; EI30 &amp; """, """ &amp; IF(EJ30="","",TEXT(EJ30,"h:mm")) &amp; """, """ &amp; IF(EK30="","",TEXT(EK30,"h:mm")) &amp; """],"</f>
        <v>["別府", "21:11", "21:13"],</v>
      </c>
      <c r="EM30" s="18" t="n">
        <f aca="false">IF(AND(LEN(EJ30)&lt;&gt;0,LEN(EK30)&lt;&gt;0),((HOUR(EK30)*60)+MINUTE(EK30))-((HOUR(EJ30)*60)+MINUTE(EJ30)),"")</f>
        <v>2</v>
      </c>
      <c r="EN30" s="20" t="s">
        <v>29</v>
      </c>
      <c r="EO30" s="20" t="n">
        <v>0.882638888888889</v>
      </c>
      <c r="EP30" s="20" t="n">
        <v>0.884027777777778</v>
      </c>
      <c r="EQ30" s="1" t="str">
        <f aca="false">"[""" &amp; EN30 &amp; """, """ &amp; IF(EO30="","",TEXT(EO30,"h:mm")) &amp; """, """ &amp; IF(EP30="","",TEXT(EP30,"h:mm")) &amp; """],"</f>
        <v>["別府", "21:11", "21:13"],</v>
      </c>
      <c r="ER30" s="18" t="n">
        <f aca="false">IF(AND(LEN(EO30)&lt;&gt;0,LEN(EP30)&lt;&gt;0),((HOUR(EP30)*60)+MINUTE(EP30))-((HOUR(EO30)*60)+MINUTE(EO30)),"")</f>
        <v>2</v>
      </c>
    </row>
    <row r="31" customFormat="false" ht="18" hidden="false" customHeight="false" outlineLevel="0" collapsed="false">
      <c r="CZ31" s="20" t="s">
        <v>29</v>
      </c>
      <c r="DA31" s="20" t="n">
        <v>0.657638888888889</v>
      </c>
      <c r="DB31" s="20" t="n">
        <v>0.673611111111111</v>
      </c>
      <c r="DC31" s="1" t="str">
        <f aca="false">"[""" &amp; CZ31 &amp; """, """ &amp; IF(DA31="","",TEXT(DA31,"h:mm")) &amp; """, """ &amp; IF(DB31="","",TEXT(DB31,"h:mm")) &amp; """],"</f>
        <v>["別府", "15:47", "16:10"],</v>
      </c>
      <c r="DD31" s="18" t="n">
        <f aca="false">IF(AND(LEN(DA31)&lt;&gt;0,LEN(DB31)&lt;&gt;0),((HOUR(DB31)*60)+MINUTE(DB31))-((HOUR(DA31)*60)+MINUTE(DA31)),"")</f>
        <v>23</v>
      </c>
      <c r="DE31" s="20" t="s">
        <v>29</v>
      </c>
      <c r="DF31" s="20" t="n">
        <v>0.657638888888889</v>
      </c>
      <c r="DG31" s="20" t="n">
        <v>0.673611111111111</v>
      </c>
      <c r="DH31" s="1" t="str">
        <f aca="false">"[""" &amp; DE31 &amp; """, """ &amp; IF(DF31="","",TEXT(DF31,"h:mm")) &amp; """, """ &amp; IF(DG31="","",TEXT(DG31,"h:mm")) &amp; """],"</f>
        <v>["別府", "15:47", "16:10"],</v>
      </c>
      <c r="DI31" s="18" t="n">
        <f aca="false">IF(AND(LEN(DF31)&lt;&gt;0,LEN(DG31)&lt;&gt;0),((HOUR(DG31)*60)+MINUTE(DG31))-((HOUR(DF31)*60)+MINUTE(DF31)),"")</f>
        <v>23</v>
      </c>
      <c r="DJ31" s="20" t="s">
        <v>29</v>
      </c>
      <c r="DK31" s="20" t="n">
        <v>0.657638888888889</v>
      </c>
      <c r="DL31" s="20" t="n">
        <v>0.673611111111111</v>
      </c>
      <c r="DM31" s="1" t="str">
        <f aca="false">"[""" &amp; DJ31 &amp; """, """ &amp; IF(DK31="","",TEXT(DK31,"h:mm")) &amp; """, """ &amp; IF(DL31="","",TEXT(DL31,"h:mm")) &amp; """],"</f>
        <v>["別府", "15:47", "16:10"],</v>
      </c>
      <c r="DN31" s="18" t="n">
        <f aca="false">IF(AND(LEN(DK31)&lt;&gt;0,LEN(DL31)&lt;&gt;0),((HOUR(DL31)*60)+MINUTE(DL31))-((HOUR(DK31)*60)+MINUTE(DK31)),"")</f>
        <v>23</v>
      </c>
      <c r="DO31" s="20" t="s">
        <v>29</v>
      </c>
      <c r="DP31" s="20" t="n">
        <v>0.657638888888889</v>
      </c>
      <c r="DQ31" s="20" t="n">
        <v>0.673611111111111</v>
      </c>
      <c r="DR31" s="1" t="str">
        <f aca="false">"[""" &amp; DO31 &amp; """, """ &amp; IF(DP31="","",TEXT(DP31,"h:mm")) &amp; """, """ &amp; IF(DQ31="","",TEXT(DQ31,"h:mm")) &amp; """],"</f>
        <v>["別府", "15:47", "16:10"],</v>
      </c>
      <c r="DS31" s="18" t="n">
        <f aca="false">IF(AND(LEN(DP31)&lt;&gt;0,LEN(DQ31)&lt;&gt;0),((HOUR(DQ31)*60)+MINUTE(DQ31))-((HOUR(DP31)*60)+MINUTE(DP31)),"")</f>
        <v>23</v>
      </c>
      <c r="DY31" s="19" t="s">
        <v>30</v>
      </c>
      <c r="DZ31" s="19" t="n">
        <v>0.889583333333333</v>
      </c>
      <c r="EA31" s="19" t="n">
        <v>0.922916666666667</v>
      </c>
      <c r="EB31" s="1" t="str">
        <f aca="false">"[""" &amp; DY31 &amp; """, """ &amp; IF(DZ31="","",TEXT(DZ31,"h:mm")) &amp; """, """ &amp; IF(EA31="","",TEXT(EA31,"h:mm")) &amp; """],"</f>
        <v>["菱浦", "21:21", "22:09"],</v>
      </c>
      <c r="EC31" s="18" t="n">
        <f aca="false">IF(AND(LEN(DZ31)&lt;&gt;0,LEN(EA31)&lt;&gt;0),((HOUR(EA31)*60)+MINUTE(EA31))-((HOUR(DZ31)*60)+MINUTE(DZ31)),"")</f>
        <v>48</v>
      </c>
      <c r="ED31" s="19" t="s">
        <v>30</v>
      </c>
      <c r="EE31" s="19" t="n">
        <v>0.889583333333333</v>
      </c>
      <c r="EF31" s="19" t="n">
        <v>0.922916666666667</v>
      </c>
      <c r="EG31" s="1" t="str">
        <f aca="false">"[""" &amp; ED31 &amp; """, """ &amp; IF(EE31="","",TEXT(EE31,"h:mm")) &amp; """, """ &amp; IF(EF31="","",TEXT(EF31,"h:mm")) &amp; """],"</f>
        <v>["菱浦", "21:21", "22:09"],</v>
      </c>
      <c r="EH31" s="18" t="n">
        <f aca="false">IF(AND(LEN(EE31)&lt;&gt;0,LEN(EF31)&lt;&gt;0),((HOUR(EF31)*60)+MINUTE(EF31))-((HOUR(EE31)*60)+MINUTE(EE31)),"")</f>
        <v>48</v>
      </c>
      <c r="EI31" s="19" t="s">
        <v>30</v>
      </c>
      <c r="EJ31" s="19" t="n">
        <v>0.889583333333333</v>
      </c>
      <c r="EK31" s="19" t="n">
        <v>0.922916666666667</v>
      </c>
      <c r="EL31" s="1" t="str">
        <f aca="false">"[""" &amp; EI31 &amp; """, """ &amp; IF(EJ31="","",TEXT(EJ31,"h:mm")) &amp; """, """ &amp; IF(EK31="","",TEXT(EK31,"h:mm")) &amp; """],"</f>
        <v>["菱浦", "21:21", "22:09"],</v>
      </c>
      <c r="EM31" s="18" t="n">
        <f aca="false">IF(AND(LEN(EJ31)&lt;&gt;0,LEN(EK31)&lt;&gt;0),((HOUR(EK31)*60)+MINUTE(EK31))-((HOUR(EJ31)*60)+MINUTE(EJ31)),"")</f>
        <v>48</v>
      </c>
      <c r="EN31" s="19" t="s">
        <v>30</v>
      </c>
      <c r="EO31" s="19" t="n">
        <v>0.889583333333333</v>
      </c>
      <c r="EP31" s="19" t="n">
        <v>0.922916666666667</v>
      </c>
      <c r="EQ31" s="1" t="str">
        <f aca="false">"[""" &amp; EN31 &amp; """, """ &amp; IF(EO31="","",TEXT(EO31,"h:mm")) &amp; """, """ &amp; IF(EP31="","",TEXT(EP31,"h:mm")) &amp; """],"</f>
        <v>["菱浦", "21:21", "22:09"],</v>
      </c>
      <c r="ER31" s="18" t="n">
        <f aca="false">IF(AND(LEN(EO31)&lt;&gt;0,LEN(EP31)&lt;&gt;0),((HOUR(EP31)*60)+MINUTE(EP31))-((HOUR(EO31)*60)+MINUTE(EO31)),"")</f>
        <v>48</v>
      </c>
    </row>
    <row r="32" customFormat="false" ht="18" hidden="false" customHeight="false" outlineLevel="0" collapsed="false">
      <c r="CZ32" s="21" t="s">
        <v>31</v>
      </c>
      <c r="DA32" s="22" t="n">
        <v>0.685416666666667</v>
      </c>
      <c r="DB32" s="22" t="n">
        <v>0.686805555555556</v>
      </c>
      <c r="DC32" s="1" t="str">
        <f aca="false">"[""" &amp; CZ32 &amp; """, """ &amp; IF(DA32="","",TEXT(DA32,"h:mm")) &amp; """, """ &amp; IF(DB32="","",TEXT(DB32,"h:mm")) &amp; """],"</f>
        <v>["来居", "16:27", "16:29"],</v>
      </c>
      <c r="DD32" s="18" t="n">
        <f aca="false">IF(AND(LEN(DA32)&lt;&gt;0,LEN(DB32)&lt;&gt;0),((HOUR(DB32)*60)+MINUTE(DB32))-((HOUR(DA32)*60)+MINUTE(DA32)),"")</f>
        <v>2</v>
      </c>
      <c r="DE32" s="21" t="s">
        <v>31</v>
      </c>
      <c r="DF32" s="22" t="n">
        <v>0.685416666666667</v>
      </c>
      <c r="DG32" s="22" t="n">
        <v>0.686805555555556</v>
      </c>
      <c r="DH32" s="1" t="str">
        <f aca="false">"[""" &amp; DE32 &amp; """, """ &amp; IF(DF32="","",TEXT(DF32,"h:mm")) &amp; """, """ &amp; IF(DG32="","",TEXT(DG32,"h:mm")) &amp; """],"</f>
        <v>["来居", "16:27", "16:29"],</v>
      </c>
      <c r="DI32" s="18" t="n">
        <f aca="false">IF(AND(LEN(DF32)&lt;&gt;0,LEN(DG32)&lt;&gt;0),((HOUR(DG32)*60)+MINUTE(DG32))-((HOUR(DF32)*60)+MINUTE(DF32)),"")</f>
        <v>2</v>
      </c>
      <c r="DJ32" s="21" t="s">
        <v>31</v>
      </c>
      <c r="DK32" s="22" t="n">
        <v>0.685416666666667</v>
      </c>
      <c r="DL32" s="22" t="n">
        <v>0.686805555555556</v>
      </c>
      <c r="DM32" s="1" t="str">
        <f aca="false">"[""" &amp; DJ32 &amp; """, """ &amp; IF(DK32="","",TEXT(DK32,"h:mm")) &amp; """, """ &amp; IF(DL32="","",TEXT(DL32,"h:mm")) &amp; """],"</f>
        <v>["来居", "16:27", "16:29"],</v>
      </c>
      <c r="DN32" s="18" t="n">
        <f aca="false">IF(AND(LEN(DK32)&lt;&gt;0,LEN(DL32)&lt;&gt;0),((HOUR(DL32)*60)+MINUTE(DL32))-((HOUR(DK32)*60)+MINUTE(DK32)),"")</f>
        <v>2</v>
      </c>
      <c r="DO32" s="21" t="s">
        <v>31</v>
      </c>
      <c r="DP32" s="22" t="n">
        <v>0.685416666666667</v>
      </c>
      <c r="DQ32" s="22" t="n">
        <v>0.686805555555556</v>
      </c>
      <c r="DR32" s="1" t="str">
        <f aca="false">"[""" &amp; DO32 &amp; """, """ &amp; IF(DP32="","",TEXT(DP32,"h:mm")) &amp; """, """ &amp; IF(DQ32="","",TEXT(DQ32,"h:mm")) &amp; """],"</f>
        <v>["来居", "16:27", "16:29"],</v>
      </c>
      <c r="DS32" s="18" t="n">
        <f aca="false">IF(AND(LEN(DP32)&lt;&gt;0,LEN(DQ32)&lt;&gt;0),((HOUR(DQ32)*60)+MINUTE(DQ32))-((HOUR(DP32)*60)+MINUTE(DP32)),"")</f>
        <v>2</v>
      </c>
      <c r="DY32" s="20" t="s">
        <v>29</v>
      </c>
      <c r="DZ32" s="20" t="n">
        <v>0.928472222222222</v>
      </c>
      <c r="EA32" s="22"/>
      <c r="EB32" s="1" t="str">
        <f aca="false">"[""" &amp; DY32 &amp; """, """ &amp; IF(DZ32="","",TEXT(DZ32,"h:mm")) &amp; """, """ &amp; IF(EA32="","",TEXT(EA32,"h:mm")) &amp; """]"</f>
        <v>["別府", "22:17", ""]</v>
      </c>
      <c r="EC32" s="18" t="str">
        <f aca="false">IF(AND(LEN(DZ32)&lt;&gt;0,LEN(EA32)&lt;&gt;0),((HOUR(EA32)*60)+MINUTE(EA32))-((HOUR(DZ32)*60)+MINUTE(DZ32)),"")</f>
        <v/>
      </c>
      <c r="ED32" s="20" t="s">
        <v>29</v>
      </c>
      <c r="EE32" s="20" t="n">
        <v>0.928472222222222</v>
      </c>
      <c r="EF32" s="22"/>
      <c r="EG32" s="1" t="str">
        <f aca="false">"[""" &amp; ED32 &amp; """, """ &amp; IF(EE32="","",TEXT(EE32,"h:mm")) &amp; """, """ &amp; IF(EF32="","",TEXT(EF32,"h:mm")) &amp; """]"</f>
        <v>["別府", "22:17", ""]</v>
      </c>
      <c r="EH32" s="18" t="str">
        <f aca="false">IF(AND(LEN(EE32)&lt;&gt;0,LEN(EF32)&lt;&gt;0),((HOUR(EF32)*60)+MINUTE(EF32))-((HOUR(EE32)*60)+MINUTE(EE32)),"")</f>
        <v/>
      </c>
      <c r="EI32" s="20" t="s">
        <v>29</v>
      </c>
      <c r="EJ32" s="20" t="n">
        <v>0.928472222222222</v>
      </c>
      <c r="EK32" s="22"/>
      <c r="EL32" s="1" t="str">
        <f aca="false">"[""" &amp; EI32 &amp; """, """ &amp; IF(EJ32="","",TEXT(EJ32,"h:mm")) &amp; """, """ &amp; IF(EK32="","",TEXT(EK32,"h:mm")) &amp; """]"</f>
        <v>["別府", "22:17", ""]</v>
      </c>
      <c r="EM32" s="18" t="str">
        <f aca="false">IF(AND(LEN(EJ32)&lt;&gt;0,LEN(EK32)&lt;&gt;0),((HOUR(EK32)*60)+MINUTE(EK32))-((HOUR(EJ32)*60)+MINUTE(EJ32)),"")</f>
        <v/>
      </c>
      <c r="EN32" s="20" t="s">
        <v>29</v>
      </c>
      <c r="EO32" s="20" t="n">
        <v>0.928472222222222</v>
      </c>
      <c r="EP32" s="22"/>
      <c r="EQ32" s="1" t="str">
        <f aca="false">"[""" &amp; EN32 &amp; """, """ &amp; IF(EO32="","",TEXT(EO32,"h:mm")) &amp; """, """ &amp; IF(EP32="","",TEXT(EP32,"h:mm")) &amp; """]"</f>
        <v>["別府", "22:17", ""]</v>
      </c>
      <c r="ER32" s="18" t="str">
        <f aca="false">IF(AND(LEN(EO32)&lt;&gt;0,LEN(EP32)&lt;&gt;0),((HOUR(EP32)*60)+MINUTE(EP32))-((HOUR(EO32)*60)+MINUTE(EO32)),"")</f>
        <v/>
      </c>
    </row>
    <row r="33" customFormat="false" ht="18" hidden="false" customHeight="false" outlineLevel="0" collapsed="false">
      <c r="CZ33" s="19" t="s">
        <v>30</v>
      </c>
      <c r="DA33" s="19" t="n">
        <v>0.699305555555556</v>
      </c>
      <c r="DB33" s="19" t="n">
        <v>0.700694444444444</v>
      </c>
      <c r="DC33" s="1" t="str">
        <f aca="false">"[""" &amp; CZ33 &amp; """, """ &amp; IF(DA33="","",TEXT(DA33,"h:mm")) &amp; """, """ &amp; IF(DB33="","",TEXT(DB33,"h:mm")) &amp; """],"</f>
        <v>["菱浦", "16:47", "16:49"],</v>
      </c>
      <c r="DD33" s="18" t="n">
        <f aca="false">IF(AND(LEN(DA33)&lt;&gt;0,LEN(DB33)&lt;&gt;0),((HOUR(DB33)*60)+MINUTE(DB33))-((HOUR(DA33)*60)+MINUTE(DA33)),"")</f>
        <v>2</v>
      </c>
      <c r="DE33" s="19" t="s">
        <v>30</v>
      </c>
      <c r="DF33" s="19" t="n">
        <v>0.699305555555556</v>
      </c>
      <c r="DG33" s="19" t="n">
        <v>0.700694444444444</v>
      </c>
      <c r="DH33" s="1" t="str">
        <f aca="false">"[""" &amp; DE33 &amp; """, """ &amp; IF(DF33="","",TEXT(DF33,"h:mm")) &amp; """, """ &amp; IF(DG33="","",TEXT(DG33,"h:mm")) &amp; """],"</f>
        <v>["菱浦", "16:47", "16:49"],</v>
      </c>
      <c r="DI33" s="18" t="n">
        <f aca="false">IF(AND(LEN(DF33)&lt;&gt;0,LEN(DG33)&lt;&gt;0),((HOUR(DG33)*60)+MINUTE(DG33))-((HOUR(DF33)*60)+MINUTE(DF33)),"")</f>
        <v>2</v>
      </c>
      <c r="DJ33" s="19" t="s">
        <v>30</v>
      </c>
      <c r="DK33" s="19" t="n">
        <v>0.699305555555556</v>
      </c>
      <c r="DL33" s="19" t="n">
        <v>0.700694444444444</v>
      </c>
      <c r="DM33" s="1" t="str">
        <f aca="false">"[""" &amp; DJ33 &amp; """, """ &amp; IF(DK33="","",TEXT(DK33,"h:mm")) &amp; """, """ &amp; IF(DL33="","",TEXT(DL33,"h:mm")) &amp; """],"</f>
        <v>["菱浦", "16:47", "16:49"],</v>
      </c>
      <c r="DN33" s="18" t="n">
        <f aca="false">IF(AND(LEN(DK33)&lt;&gt;0,LEN(DL33)&lt;&gt;0),((HOUR(DL33)*60)+MINUTE(DL33))-((HOUR(DK33)*60)+MINUTE(DK33)),"")</f>
        <v>2</v>
      </c>
      <c r="DO33" s="19" t="s">
        <v>30</v>
      </c>
      <c r="DP33" s="19" t="n">
        <v>0.699305555555556</v>
      </c>
      <c r="DQ33" s="19" t="n">
        <v>0.700694444444444</v>
      </c>
      <c r="DR33" s="1" t="str">
        <f aca="false">"[""" &amp; DO33 &amp; """, """ &amp; IF(DP33="","",TEXT(DP33,"h:mm")) &amp; """, """ &amp; IF(DQ33="","",TEXT(DQ33,"h:mm")) &amp; """],"</f>
        <v>["菱浦", "16:47", "16:49"],</v>
      </c>
      <c r="DS33" s="18" t="n">
        <f aca="false">IF(AND(LEN(DP33)&lt;&gt;0,LEN(DQ33)&lt;&gt;0),((HOUR(DQ33)*60)+MINUTE(DQ33))-((HOUR(DP33)*60)+MINUTE(DP33)),"")</f>
        <v>2</v>
      </c>
      <c r="DY33" s="19"/>
      <c r="DZ33" s="19"/>
      <c r="EA33" s="19"/>
      <c r="EB33" s="1" t="s">
        <v>33</v>
      </c>
      <c r="EC33" s="18" t="str">
        <f aca="false">IF(AND(LEN(DZ33)&lt;&gt;0,LEN(EA33)&lt;&gt;0),((HOUR(EA33)*60)+MINUTE(EA33))-((HOUR(DZ33)*60)+MINUTE(DZ33)),"")</f>
        <v/>
      </c>
      <c r="ED33" s="19"/>
      <c r="EE33" s="19"/>
      <c r="EF33" s="19"/>
      <c r="EG33" s="1" t="s">
        <v>33</v>
      </c>
      <c r="EH33" s="18" t="str">
        <f aca="false">IF(AND(LEN(EE33)&lt;&gt;0,LEN(EF33)&lt;&gt;0),((HOUR(EF33)*60)+MINUTE(EF33))-((HOUR(EE33)*60)+MINUTE(EE33)),"")</f>
        <v/>
      </c>
      <c r="EI33" s="19"/>
      <c r="EJ33" s="19"/>
      <c r="EK33" s="19"/>
      <c r="EL33" s="1" t="s">
        <v>33</v>
      </c>
      <c r="EM33" s="18" t="str">
        <f aca="false">IF(AND(LEN(EJ33)&lt;&gt;0,LEN(EK33)&lt;&gt;0),((HOUR(EK33)*60)+MINUTE(EK33))-((HOUR(EJ33)*60)+MINUTE(EJ33)),"")</f>
        <v/>
      </c>
      <c r="EN33" s="19"/>
      <c r="EO33" s="19"/>
      <c r="EP33" s="19"/>
      <c r="EQ33" s="1" t="s">
        <v>33</v>
      </c>
      <c r="ER33" s="18" t="str">
        <f aca="false">IF(AND(LEN(EO33)&lt;&gt;0,LEN(EP33)&lt;&gt;0),((HOUR(EP33)*60)+MINUTE(EP33))-((HOUR(EO33)*60)+MINUTE(EO33)),"")</f>
        <v/>
      </c>
    </row>
    <row r="34" customFormat="false" ht="18" hidden="false" customHeight="false" outlineLevel="0" collapsed="false">
      <c r="CZ34" s="20" t="s">
        <v>29</v>
      </c>
      <c r="DA34" s="20" t="n">
        <v>0.705555555555556</v>
      </c>
      <c r="DB34" s="20" t="n">
        <v>0.722222222222222</v>
      </c>
      <c r="DC34" s="1" t="str">
        <f aca="false">"[""" &amp; CZ34 &amp; """, """ &amp; IF(DA34="","",TEXT(DA34,"h:mm")) &amp; """, """ &amp; IF(DB34="","",TEXT(DB34,"h:mm")) &amp; """],"</f>
        <v>["別府", "16:56", "17:20"],</v>
      </c>
      <c r="DD34" s="18" t="n">
        <f aca="false">IF(AND(LEN(DA34)&lt;&gt;0,LEN(DB34)&lt;&gt;0),((HOUR(DB34)*60)+MINUTE(DB34))-((HOUR(DA34)*60)+MINUTE(DA34)),"")</f>
        <v>24</v>
      </c>
      <c r="DE34" s="20" t="s">
        <v>29</v>
      </c>
      <c r="DF34" s="20" t="n">
        <v>0.705555555555556</v>
      </c>
      <c r="DG34" s="20" t="n">
        <v>0.722222222222222</v>
      </c>
      <c r="DH34" s="1" t="str">
        <f aca="false">"[""" &amp; DE34 &amp; """, """ &amp; IF(DF34="","",TEXT(DF34,"h:mm")) &amp; """, """ &amp; IF(DG34="","",TEXT(DG34,"h:mm")) &amp; """],"</f>
        <v>["別府", "16:56", "17:20"],</v>
      </c>
      <c r="DI34" s="18" t="n">
        <f aca="false">IF(AND(LEN(DF34)&lt;&gt;0,LEN(DG34)&lt;&gt;0),((HOUR(DG34)*60)+MINUTE(DG34))-((HOUR(DF34)*60)+MINUTE(DF34)),"")</f>
        <v>24</v>
      </c>
      <c r="DJ34" s="20" t="s">
        <v>29</v>
      </c>
      <c r="DK34" s="20" t="n">
        <v>0.705555555555556</v>
      </c>
      <c r="DL34" s="20" t="n">
        <v>0.722222222222222</v>
      </c>
      <c r="DM34" s="1" t="str">
        <f aca="false">"[""" &amp; DJ34 &amp; """, """ &amp; IF(DK34="","",TEXT(DK34,"h:mm")) &amp; """, """ &amp; IF(DL34="","",TEXT(DL34,"h:mm")) &amp; """],"</f>
        <v>["別府", "16:56", "17:20"],</v>
      </c>
      <c r="DN34" s="18" t="n">
        <f aca="false">IF(AND(LEN(DK34)&lt;&gt;0,LEN(DL34)&lt;&gt;0),((HOUR(DL34)*60)+MINUTE(DL34))-((HOUR(DK34)*60)+MINUTE(DK34)),"")</f>
        <v>24</v>
      </c>
      <c r="DO34" s="20" t="s">
        <v>29</v>
      </c>
      <c r="DP34" s="20" t="n">
        <v>0.705555555555556</v>
      </c>
      <c r="DQ34" s="20" t="n">
        <v>0.722222222222222</v>
      </c>
      <c r="DR34" s="1" t="str">
        <f aca="false">"[""" &amp; DO34 &amp; """, """ &amp; IF(DP34="","",TEXT(DP34,"h:mm")) &amp; """, """ &amp; IF(DQ34="","",TEXT(DQ34,"h:mm")) &amp; """],"</f>
        <v>["別府", "16:56", "17:20"],</v>
      </c>
      <c r="DS34" s="18" t="n">
        <f aca="false">IF(AND(LEN(DP34)&lt;&gt;0,LEN(DQ34)&lt;&gt;0),((HOUR(DQ34)*60)+MINUTE(DQ34))-((HOUR(DP34)*60)+MINUTE(DP34)),"")</f>
        <v>24</v>
      </c>
      <c r="DY34" s="19"/>
      <c r="DZ34" s="19"/>
      <c r="EA34" s="19"/>
      <c r="EC34" s="18"/>
      <c r="ED34" s="19"/>
      <c r="EE34" s="19"/>
      <c r="EF34" s="19"/>
      <c r="EH34" s="18"/>
      <c r="EI34" s="19"/>
      <c r="EJ34" s="19"/>
      <c r="EK34" s="19"/>
      <c r="EM34" s="18"/>
      <c r="EN34" s="19"/>
      <c r="EO34" s="19"/>
      <c r="EP34" s="19"/>
      <c r="ER34" s="18"/>
    </row>
    <row r="35" customFormat="false" ht="18" hidden="false" customHeight="false" outlineLevel="0" collapsed="false">
      <c r="CZ35" s="19" t="s">
        <v>30</v>
      </c>
      <c r="DA35" s="19" t="n">
        <v>0.727083333333333</v>
      </c>
      <c r="DB35" s="29" t="n">
        <v>0.728472222222222</v>
      </c>
      <c r="DC35" s="1" t="str">
        <f aca="false">"[""" &amp; CZ35 &amp; """, """ &amp; IF(DA35="","",TEXT(DA35,"h:mm")) &amp; """, """ &amp; IF(DB35="","",TEXT(DB35,"h:mm")) &amp; """],"</f>
        <v>["菱浦", "17:27", "17:29"],</v>
      </c>
      <c r="DD35" s="18" t="n">
        <f aca="false">IF(AND(LEN(DA35)&lt;&gt;0,LEN(DB35)&lt;&gt;0),((HOUR(DB35)*60)+MINUTE(DB35))-((HOUR(DA35)*60)+MINUTE(DA35)),"")</f>
        <v>2</v>
      </c>
      <c r="DE35" s="19" t="s">
        <v>30</v>
      </c>
      <c r="DF35" s="19" t="n">
        <v>0.727083333333333</v>
      </c>
      <c r="DG35" s="29" t="n">
        <v>0.728472222222222</v>
      </c>
      <c r="DH35" s="1" t="str">
        <f aca="false">"[""" &amp; DE35 &amp; """, """ &amp; IF(DF35="","",TEXT(DF35,"h:mm")) &amp; """, """ &amp; IF(DG35="","",TEXT(DG35,"h:mm")) &amp; """],"</f>
        <v>["菱浦", "17:27", "17:29"],</v>
      </c>
      <c r="DI35" s="18" t="n">
        <f aca="false">IF(AND(LEN(DF35)&lt;&gt;0,LEN(DG35)&lt;&gt;0),((HOUR(DG35)*60)+MINUTE(DG35))-((HOUR(DF35)*60)+MINUTE(DF35)),"")</f>
        <v>2</v>
      </c>
      <c r="DJ35" s="19" t="s">
        <v>30</v>
      </c>
      <c r="DK35" s="19" t="n">
        <v>0.727083333333333</v>
      </c>
      <c r="DL35" s="29" t="n">
        <v>0.735416666666667</v>
      </c>
      <c r="DM35" s="1" t="str">
        <f aca="false">"[""" &amp; DJ35 &amp; """, """ &amp; IF(DK35="","",TEXT(DK35,"h:mm")) &amp; """, """ &amp; IF(DL35="","",TEXT(DL35,"h:mm")) &amp; """],"</f>
        <v>["菱浦", "17:27", "17:39"],</v>
      </c>
      <c r="DN35" s="18" t="n">
        <f aca="false">IF(AND(LEN(DK35)&lt;&gt;0,LEN(DL35)&lt;&gt;0),((HOUR(DL35)*60)+MINUTE(DL35))-((HOUR(DK35)*60)+MINUTE(DK35)),"")</f>
        <v>12</v>
      </c>
      <c r="DO35" s="19" t="s">
        <v>30</v>
      </c>
      <c r="DP35" s="19" t="n">
        <v>0.727083333333333</v>
      </c>
      <c r="DQ35" s="29" t="n">
        <v>0.735416666666667</v>
      </c>
      <c r="DR35" s="1" t="str">
        <f aca="false">"[""" &amp; DO35 &amp; """, """ &amp; IF(DP35="","",TEXT(DP35,"h:mm")) &amp; """, """ &amp; IF(DQ35="","",TEXT(DQ35,"h:mm")) &amp; """],"</f>
        <v>["菱浦", "17:27", "17:39"],</v>
      </c>
      <c r="DS35" s="18" t="n">
        <f aca="false">IF(AND(LEN(DP35)&lt;&gt;0,LEN(DQ35)&lt;&gt;0),((HOUR(DQ35)*60)+MINUTE(DQ35))-((HOUR(DP35)*60)+MINUTE(DP35)),"")</f>
        <v>12</v>
      </c>
      <c r="DY35" s="21"/>
      <c r="DZ35" s="22"/>
      <c r="EA35" s="22"/>
      <c r="EC35" s="18"/>
      <c r="ED35" s="21"/>
      <c r="EE35" s="22"/>
      <c r="EF35" s="22"/>
      <c r="EH35" s="18"/>
      <c r="EI35" s="21"/>
      <c r="EJ35" s="22"/>
      <c r="EK35" s="22"/>
      <c r="EM35" s="18"/>
      <c r="EN35" s="21"/>
      <c r="EO35" s="22"/>
      <c r="EP35" s="22"/>
      <c r="ER35" s="18"/>
    </row>
    <row r="36" customFormat="false" ht="18" hidden="false" customHeight="false" outlineLevel="0" collapsed="false">
      <c r="CZ36" s="21" t="s">
        <v>31</v>
      </c>
      <c r="DA36" s="31" t="n">
        <v>0.740972222222222</v>
      </c>
      <c r="DB36" s="31" t="n">
        <v>0.742361111111111</v>
      </c>
      <c r="DC36" s="1" t="str">
        <f aca="false">"[""" &amp; CZ36 &amp; """, """ &amp; IF(DA36="","",TEXT(DA36,"h:mm")) &amp; """, """ &amp; IF(DB36="","",TEXT(DB36,"h:mm")) &amp; """],"</f>
        <v>["来居", "17:47", "17:49"],</v>
      </c>
      <c r="DD36" s="18" t="n">
        <f aca="false">IF(AND(LEN(DA36)&lt;&gt;0,LEN(DB36)&lt;&gt;0),((HOUR(DB36)*60)+MINUTE(DB36))-((HOUR(DA36)*60)+MINUTE(DA36)),"")</f>
        <v>2</v>
      </c>
      <c r="DE36" s="21" t="s">
        <v>31</v>
      </c>
      <c r="DF36" s="31" t="n">
        <v>0.740972222222222</v>
      </c>
      <c r="DG36" s="31" t="n">
        <v>0.742361111111111</v>
      </c>
      <c r="DH36" s="1" t="str">
        <f aca="false">"[""" &amp; DE36 &amp; """, """ &amp; IF(DF36="","",TEXT(DF36,"h:mm")) &amp; """, """ &amp; IF(DG36="","",TEXT(DG36,"h:mm")) &amp; """],"</f>
        <v>["来居", "17:47", "17:49"],</v>
      </c>
      <c r="DI36" s="18" t="n">
        <f aca="false">IF(AND(LEN(DF36)&lt;&gt;0,LEN(DG36)&lt;&gt;0),((HOUR(DG36)*60)+MINUTE(DG36))-((HOUR(DF36)*60)+MINUTE(DF36)),"")</f>
        <v>2</v>
      </c>
      <c r="DJ36" s="21" t="s">
        <v>31</v>
      </c>
      <c r="DK36" s="31" t="n">
        <v>0.747916666666667</v>
      </c>
      <c r="DL36" s="31" t="n">
        <v>0.749305555555556</v>
      </c>
      <c r="DM36" s="1" t="str">
        <f aca="false">"[""" &amp; DJ36 &amp; """, """ &amp; IF(DK36="","",TEXT(DK36,"h:mm")) &amp; """, """ &amp; IF(DL36="","",TEXT(DL36,"h:mm")) &amp; """],"</f>
        <v>["来居", "17:57", "17:59"],</v>
      </c>
      <c r="DN36" s="18" t="n">
        <f aca="false">IF(AND(LEN(DK36)&lt;&gt;0,LEN(DL36)&lt;&gt;0),((HOUR(DL36)*60)+MINUTE(DL36))-((HOUR(DK36)*60)+MINUTE(DK36)),"")</f>
        <v>2</v>
      </c>
      <c r="DO36" s="21" t="s">
        <v>31</v>
      </c>
      <c r="DP36" s="31" t="n">
        <v>0.747916666666667</v>
      </c>
      <c r="DQ36" s="31" t="n">
        <v>0.749305555555556</v>
      </c>
      <c r="DR36" s="1" t="str">
        <f aca="false">"[""" &amp; DO36 &amp; """, """ &amp; IF(DP36="","",TEXT(DP36,"h:mm")) &amp; """, """ &amp; IF(DQ36="","",TEXT(DQ36,"h:mm")) &amp; """],"</f>
        <v>["来居", "17:57", "17:59"],</v>
      </c>
      <c r="DS36" s="18" t="n">
        <f aca="false">IF(AND(LEN(DP36)&lt;&gt;0,LEN(DQ36)&lt;&gt;0),((HOUR(DQ36)*60)+MINUTE(DQ36))-((HOUR(DP36)*60)+MINUTE(DP36)),"")</f>
        <v>2</v>
      </c>
      <c r="DY36" s="19"/>
      <c r="DZ36" s="19"/>
      <c r="EA36" s="19"/>
      <c r="EC36" s="18"/>
      <c r="ED36" s="19"/>
      <c r="EE36" s="19"/>
      <c r="EF36" s="19"/>
      <c r="EH36" s="18"/>
      <c r="EI36" s="19"/>
      <c r="EJ36" s="19"/>
      <c r="EK36" s="19"/>
      <c r="EM36" s="18"/>
      <c r="EN36" s="19"/>
      <c r="EO36" s="19"/>
      <c r="EP36" s="19"/>
      <c r="ER36" s="18"/>
    </row>
    <row r="37" customFormat="false" ht="18" hidden="false" customHeight="false" outlineLevel="0" collapsed="false">
      <c r="CZ37" s="19" t="s">
        <v>30</v>
      </c>
      <c r="DA37" s="29" t="n">
        <v>0.754861111111111</v>
      </c>
      <c r="DB37" s="29" t="n">
        <v>0.75625</v>
      </c>
      <c r="DC37" s="1" t="str">
        <f aca="false">"[""" &amp; CZ37 &amp; """, """ &amp; IF(DA37="","",TEXT(DA37,"h:mm")) &amp; """, """ &amp; IF(DB37="","",TEXT(DB37,"h:mm")) &amp; """],"</f>
        <v>["菱浦", "18:07", "18:09"],</v>
      </c>
      <c r="DD37" s="18" t="n">
        <f aca="false">IF(AND(LEN(DA37)&lt;&gt;0,LEN(DB37)&lt;&gt;0),((HOUR(DB37)*60)+MINUTE(DB37))-((HOUR(DA37)*60)+MINUTE(DA37)),"")</f>
        <v>2</v>
      </c>
      <c r="DE37" s="19" t="s">
        <v>30</v>
      </c>
      <c r="DF37" s="29" t="n">
        <v>0.754861111111111</v>
      </c>
      <c r="DG37" s="29" t="n">
        <v>0.75625</v>
      </c>
      <c r="DH37" s="1" t="str">
        <f aca="false">"[""" &amp; DE37 &amp; """, """ &amp; IF(DF37="","",TEXT(DF37,"h:mm")) &amp; """, """ &amp; IF(DG37="","",TEXT(DG37,"h:mm")) &amp; """],"</f>
        <v>["菱浦", "18:07", "18:09"],</v>
      </c>
      <c r="DI37" s="18" t="n">
        <f aca="false">IF(AND(LEN(DF37)&lt;&gt;0,LEN(DG37)&lt;&gt;0),((HOUR(DG37)*60)+MINUTE(DG37))-((HOUR(DF37)*60)+MINUTE(DF37)),"")</f>
        <v>2</v>
      </c>
      <c r="DJ37" s="19" t="s">
        <v>30</v>
      </c>
      <c r="DK37" s="29" t="n">
        <v>0.761805555555556</v>
      </c>
      <c r="DL37" s="29" t="n">
        <v>0.763194444444444</v>
      </c>
      <c r="DM37" s="1" t="str">
        <f aca="false">"[""" &amp; DJ37 &amp; """, """ &amp; IF(DK37="","",TEXT(DK37,"h:mm")) &amp; """, """ &amp; IF(DL37="","",TEXT(DL37,"h:mm")) &amp; """],"</f>
        <v>["菱浦", "18:17", "18:19"],</v>
      </c>
      <c r="DN37" s="18" t="n">
        <f aca="false">IF(AND(LEN(DK37)&lt;&gt;0,LEN(DL37)&lt;&gt;0),((HOUR(DL37)*60)+MINUTE(DL37))-((HOUR(DK37)*60)+MINUTE(DK37)),"")</f>
        <v>2</v>
      </c>
      <c r="DO37" s="19" t="s">
        <v>30</v>
      </c>
      <c r="DP37" s="29" t="n">
        <v>0.761805555555556</v>
      </c>
      <c r="DQ37" s="29" t="n">
        <v>0.763194444444444</v>
      </c>
      <c r="DR37" s="1" t="str">
        <f aca="false">"[""" &amp; DO37 &amp; """, """ &amp; IF(DP37="","",TEXT(DP37,"h:mm")) &amp; """, """ &amp; IF(DQ37="","",TEXT(DQ37,"h:mm")) &amp; """],"</f>
        <v>["菱浦", "18:17", "18:19"],</v>
      </c>
      <c r="DS37" s="18" t="n">
        <f aca="false">IF(AND(LEN(DP37)&lt;&gt;0,LEN(DQ37)&lt;&gt;0),((HOUR(DQ37)*60)+MINUTE(DQ37))-((HOUR(DP37)*60)+MINUTE(DP37)),"")</f>
        <v>2</v>
      </c>
      <c r="DY37" s="19"/>
      <c r="DZ37" s="19"/>
      <c r="EA37" s="19"/>
      <c r="EC37" s="18"/>
      <c r="ED37" s="19"/>
      <c r="EE37" s="19"/>
      <c r="EF37" s="19"/>
      <c r="EH37" s="18"/>
      <c r="EI37" s="19"/>
      <c r="EJ37" s="19"/>
      <c r="EK37" s="19"/>
      <c r="EM37" s="18"/>
      <c r="EN37" s="19"/>
      <c r="EO37" s="19"/>
      <c r="EP37" s="19"/>
      <c r="ER37" s="18"/>
    </row>
    <row r="38" customFormat="false" ht="18" hidden="false" customHeight="false" outlineLevel="0" collapsed="false">
      <c r="CZ38" s="20" t="s">
        <v>29</v>
      </c>
      <c r="DA38" s="30" t="n">
        <v>0.761111111111111</v>
      </c>
      <c r="DB38" s="20" t="n">
        <v>0.783333333333333</v>
      </c>
      <c r="DC38" s="1" t="str">
        <f aca="false">"[""" &amp; CZ38 &amp; """, """ &amp; IF(DA38="","",TEXT(DA38,"h:mm")) &amp; """, """ &amp; IF(DB38="","",TEXT(DB38,"h:mm")) &amp; """],"</f>
        <v>["別府", "18:16", "18:48"],</v>
      </c>
      <c r="DD38" s="18" t="n">
        <f aca="false">IF(AND(LEN(DA38)&lt;&gt;0,LEN(DB38)&lt;&gt;0),((HOUR(DB38)*60)+MINUTE(DB38))-((HOUR(DA38)*60)+MINUTE(DA38)),"")</f>
        <v>32</v>
      </c>
      <c r="DE38" s="20" t="s">
        <v>29</v>
      </c>
      <c r="DF38" s="30" t="n">
        <v>0.761111111111111</v>
      </c>
      <c r="DG38" s="20" t="n">
        <v>0.783333333333333</v>
      </c>
      <c r="DH38" s="1" t="str">
        <f aca="false">"[""" &amp; DE38 &amp; """, """ &amp; IF(DF38="","",TEXT(DF38,"h:mm")) &amp; """, """ &amp; IF(DG38="","",TEXT(DG38,"h:mm")) &amp; """],"</f>
        <v>["別府", "18:16", "18:48"],</v>
      </c>
      <c r="DI38" s="18" t="n">
        <f aca="false">IF(AND(LEN(DF38)&lt;&gt;0,LEN(DG38)&lt;&gt;0),((HOUR(DG38)*60)+MINUTE(DG38))-((HOUR(DF38)*60)+MINUTE(DF38)),"")</f>
        <v>32</v>
      </c>
      <c r="DJ38" s="20" t="s">
        <v>29</v>
      </c>
      <c r="DK38" s="30" t="n">
        <v>0.768055555555556</v>
      </c>
      <c r="DL38" s="20" t="n">
        <v>0.783333333333333</v>
      </c>
      <c r="DM38" s="1" t="str">
        <f aca="false">"[""" &amp; DJ38 &amp; """, """ &amp; IF(DK38="","",TEXT(DK38,"h:mm")) &amp; """, """ &amp; IF(DL38="","",TEXT(DL38,"h:mm")) &amp; """],"</f>
        <v>["別府", "18:26", "18:48"],</v>
      </c>
      <c r="DN38" s="18" t="n">
        <f aca="false">IF(AND(LEN(DK38)&lt;&gt;0,LEN(DL38)&lt;&gt;0),((HOUR(DL38)*60)+MINUTE(DL38))-((HOUR(DK38)*60)+MINUTE(DK38)),"")</f>
        <v>22</v>
      </c>
      <c r="DO38" s="20" t="s">
        <v>29</v>
      </c>
      <c r="DP38" s="30" t="n">
        <v>0.768055555555556</v>
      </c>
      <c r="DQ38" s="20" t="n">
        <v>0.783333333333333</v>
      </c>
      <c r="DR38" s="1" t="str">
        <f aca="false">"[""" &amp; DO38 &amp; """, """ &amp; IF(DP38="","",TEXT(DP38,"h:mm")) &amp; """, """ &amp; IF(DQ38="","",TEXT(DQ38,"h:mm")) &amp; """],"</f>
        <v>["別府", "18:26", "18:48"],</v>
      </c>
      <c r="DS38" s="18" t="n">
        <f aca="false">IF(AND(LEN(DP38)&lt;&gt;0,LEN(DQ38)&lt;&gt;0),((HOUR(DQ38)*60)+MINUTE(DQ38))-((HOUR(DP38)*60)+MINUTE(DP38)),"")</f>
        <v>22</v>
      </c>
      <c r="DY38" s="20"/>
      <c r="DZ38" s="20"/>
      <c r="EA38" s="20"/>
      <c r="EC38" s="18"/>
      <c r="ED38" s="20"/>
      <c r="EE38" s="20"/>
      <c r="EF38" s="20"/>
      <c r="EH38" s="18"/>
      <c r="EI38" s="20"/>
      <c r="EJ38" s="20"/>
      <c r="EK38" s="20"/>
      <c r="EM38" s="18"/>
      <c r="EN38" s="20"/>
      <c r="EO38" s="20"/>
      <c r="EP38" s="20"/>
      <c r="ER38" s="18"/>
    </row>
    <row r="39" customFormat="false" ht="18" hidden="false" customHeight="false" outlineLevel="0" collapsed="false">
      <c r="CZ39" s="19" t="s">
        <v>30</v>
      </c>
      <c r="DA39" s="19" t="n">
        <v>0.788888888888889</v>
      </c>
      <c r="DB39" s="19" t="n">
        <v>0.790277777777778</v>
      </c>
      <c r="DC39" s="1" t="str">
        <f aca="false">"[""" &amp; CZ39 &amp; """, """ &amp; IF(DA39="","",TEXT(DA39,"h:mm")) &amp; """, """ &amp; IF(DB39="","",TEXT(DB39,"h:mm")) &amp; """],"</f>
        <v>["菱浦", "18:56", "18:58"],</v>
      </c>
      <c r="DD39" s="18" t="n">
        <f aca="false">IF(AND(LEN(DA39)&lt;&gt;0,LEN(DB39)&lt;&gt;0),((HOUR(DB39)*60)+MINUTE(DB39))-((HOUR(DA39)*60)+MINUTE(DA39)),"")</f>
        <v>2</v>
      </c>
      <c r="DE39" s="19" t="s">
        <v>30</v>
      </c>
      <c r="DF39" s="19" t="n">
        <v>0.788888888888889</v>
      </c>
      <c r="DG39" s="19" t="n">
        <v>0.790277777777778</v>
      </c>
      <c r="DH39" s="1" t="str">
        <f aca="false">"[""" &amp; DE39 &amp; """, """ &amp; IF(DF39="","",TEXT(DF39,"h:mm")) &amp; """, """ &amp; IF(DG39="","",TEXT(DG39,"h:mm")) &amp; """],"</f>
        <v>["菱浦", "18:56", "18:58"],</v>
      </c>
      <c r="DI39" s="18" t="n">
        <f aca="false">IF(AND(LEN(DF39)&lt;&gt;0,LEN(DG39)&lt;&gt;0),((HOUR(DG39)*60)+MINUTE(DG39))-((HOUR(DF39)*60)+MINUTE(DF39)),"")</f>
        <v>2</v>
      </c>
      <c r="DJ39" s="19" t="s">
        <v>30</v>
      </c>
      <c r="DK39" s="19" t="n">
        <v>0.788888888888889</v>
      </c>
      <c r="DL39" s="19" t="n">
        <v>0.790277777777778</v>
      </c>
      <c r="DM39" s="1" t="str">
        <f aca="false">"[""" &amp; DJ39 &amp; """, """ &amp; IF(DK39="","",TEXT(DK39,"h:mm")) &amp; """, """ &amp; IF(DL39="","",TEXT(DL39,"h:mm")) &amp; """],"</f>
        <v>["菱浦", "18:56", "18:58"],</v>
      </c>
      <c r="DN39" s="18" t="n">
        <f aca="false">IF(AND(LEN(DK39)&lt;&gt;0,LEN(DL39)&lt;&gt;0),((HOUR(DL39)*60)+MINUTE(DL39))-((HOUR(DK39)*60)+MINUTE(DK39)),"")</f>
        <v>2</v>
      </c>
      <c r="DO39" s="19" t="s">
        <v>30</v>
      </c>
      <c r="DP39" s="19" t="n">
        <v>0.788888888888889</v>
      </c>
      <c r="DQ39" s="19" t="n">
        <v>0.790277777777778</v>
      </c>
      <c r="DR39" s="1" t="str">
        <f aca="false">"[""" &amp; DO39 &amp; """, """ &amp; IF(DP39="","",TEXT(DP39,"h:mm")) &amp; """, """ &amp; IF(DQ39="","",TEXT(DQ39,"h:mm")) &amp; """],"</f>
        <v>["菱浦", "18:56", "18:58"],</v>
      </c>
      <c r="DS39" s="18" t="n">
        <f aca="false">IF(AND(LEN(DP39)&lt;&gt;0,LEN(DQ39)&lt;&gt;0),((HOUR(DQ39)*60)+MINUTE(DQ39))-((HOUR(DP39)*60)+MINUTE(DP39)),"")</f>
        <v>2</v>
      </c>
      <c r="DY39" s="20"/>
      <c r="DZ39" s="20"/>
      <c r="EA39" s="20"/>
      <c r="EC39" s="18"/>
      <c r="ED39" s="20"/>
      <c r="EE39" s="20"/>
      <c r="EF39" s="20"/>
      <c r="EH39" s="18"/>
      <c r="EI39" s="20"/>
      <c r="EJ39" s="20"/>
      <c r="EK39" s="20"/>
      <c r="EM39" s="18"/>
      <c r="EN39" s="20"/>
      <c r="EO39" s="20"/>
      <c r="EP39" s="20"/>
      <c r="ER39" s="18"/>
    </row>
    <row r="40" customFormat="false" ht="18" hidden="false" customHeight="false" outlineLevel="0" collapsed="false">
      <c r="CZ40" s="20" t="s">
        <v>29</v>
      </c>
      <c r="DA40" s="20" t="n">
        <v>0.795833333333333</v>
      </c>
      <c r="DB40" s="20" t="n">
        <v>0.797222222222222</v>
      </c>
      <c r="DC40" s="1" t="str">
        <f aca="false">"[""" &amp; CZ40 &amp; """, """ &amp; IF(DA40="","",TEXT(DA40,"h:mm")) &amp; """, """ &amp; IF(DB40="","",TEXT(DB40,"h:mm")) &amp; """],"</f>
        <v>["別府", "19:06", "19:08"],</v>
      </c>
      <c r="DD40" s="18" t="n">
        <f aca="false">IF(AND(LEN(DA40)&lt;&gt;0,LEN(DB40)&lt;&gt;0),((HOUR(DB40)*60)+MINUTE(DB40))-((HOUR(DA40)*60)+MINUTE(DA40)),"")</f>
        <v>2</v>
      </c>
      <c r="DE40" s="20" t="s">
        <v>29</v>
      </c>
      <c r="DF40" s="20" t="n">
        <v>0.795833333333333</v>
      </c>
      <c r="DG40" s="20" t="n">
        <v>0.797222222222222</v>
      </c>
      <c r="DH40" s="1" t="str">
        <f aca="false">"[""" &amp; DE40 &amp; """, """ &amp; IF(DF40="","",TEXT(DF40,"h:mm")) &amp; """, """ &amp; IF(DG40="","",TEXT(DG40,"h:mm")) &amp; """],"</f>
        <v>["別府", "19:06", "19:08"],</v>
      </c>
      <c r="DI40" s="18" t="n">
        <f aca="false">IF(AND(LEN(DF40)&lt;&gt;0,LEN(DG40)&lt;&gt;0),((HOUR(DG40)*60)+MINUTE(DG40))-((HOUR(DF40)*60)+MINUTE(DF40)),"")</f>
        <v>2</v>
      </c>
      <c r="DJ40" s="20" t="s">
        <v>29</v>
      </c>
      <c r="DK40" s="20" t="n">
        <v>0.795833333333333</v>
      </c>
      <c r="DL40" s="20" t="n">
        <v>0.797222222222222</v>
      </c>
      <c r="DM40" s="1" t="str">
        <f aca="false">"[""" &amp; DJ40 &amp; """, """ &amp; IF(DK40="","",TEXT(DK40,"h:mm")) &amp; """, """ &amp; IF(DL40="","",TEXT(DL40,"h:mm")) &amp; """],"</f>
        <v>["別府", "19:06", "19:08"],</v>
      </c>
      <c r="DN40" s="18" t="n">
        <f aca="false">IF(AND(LEN(DK40)&lt;&gt;0,LEN(DL40)&lt;&gt;0),((HOUR(DL40)*60)+MINUTE(DL40))-((HOUR(DK40)*60)+MINUTE(DK40)),"")</f>
        <v>2</v>
      </c>
      <c r="DO40" s="20" t="s">
        <v>29</v>
      </c>
      <c r="DP40" s="20" t="n">
        <v>0.795833333333333</v>
      </c>
      <c r="DQ40" s="20" t="n">
        <v>0.797222222222222</v>
      </c>
      <c r="DR40" s="1" t="str">
        <f aca="false">"[""" &amp; DO40 &amp; """, """ &amp; IF(DP40="","",TEXT(DP40,"h:mm")) &amp; """, """ &amp; IF(DQ40="","",TEXT(DQ40,"h:mm")) &amp; """],"</f>
        <v>["別府", "19:06", "19:08"],</v>
      </c>
      <c r="DS40" s="18" t="n">
        <f aca="false">IF(AND(LEN(DP40)&lt;&gt;0,LEN(DQ40)&lt;&gt;0),((HOUR(DQ40)*60)+MINUTE(DQ40))-((HOUR(DP40)*60)+MINUTE(DP40)),"")</f>
        <v>2</v>
      </c>
      <c r="DY40" s="20"/>
      <c r="DZ40" s="20"/>
      <c r="EA40" s="20"/>
      <c r="EC40" s="18"/>
      <c r="ED40" s="20"/>
      <c r="EE40" s="20"/>
      <c r="EF40" s="20"/>
      <c r="EH40" s="18"/>
      <c r="EI40" s="20"/>
      <c r="EJ40" s="20"/>
      <c r="EK40" s="20"/>
      <c r="EM40" s="18"/>
      <c r="EN40" s="20"/>
      <c r="EO40" s="20"/>
      <c r="EP40" s="20"/>
      <c r="ER40" s="18"/>
    </row>
    <row r="41" customFormat="false" ht="18" hidden="false" customHeight="false" outlineLevel="0" collapsed="false">
      <c r="CZ41" s="21" t="s">
        <v>31</v>
      </c>
      <c r="DA41" s="22" t="n">
        <v>0.811111111111111</v>
      </c>
      <c r="DB41" s="22" t="n">
        <v>0.8125</v>
      </c>
      <c r="DC41" s="1" t="str">
        <f aca="false">"[""" &amp; CZ41 &amp; """, """ &amp; IF(DA41="","",TEXT(DA41,"h:mm")) &amp; """, """ &amp; IF(DB41="","",TEXT(DB41,"h:mm")) &amp; """],"</f>
        <v>["来居", "19:28", "19:30"],</v>
      </c>
      <c r="DD41" s="18" t="n">
        <f aca="false">IF(AND(LEN(DA41)&lt;&gt;0,LEN(DB41)&lt;&gt;0),((HOUR(DB41)*60)+MINUTE(DB41))-((HOUR(DA41)*60)+MINUTE(DA41)),"")</f>
        <v>2</v>
      </c>
      <c r="DE41" s="21" t="s">
        <v>31</v>
      </c>
      <c r="DF41" s="22" t="n">
        <v>0.811111111111111</v>
      </c>
      <c r="DG41" s="22" t="n">
        <v>0.8125</v>
      </c>
      <c r="DH41" s="1" t="str">
        <f aca="false">"[""" &amp; DE41 &amp; """, """ &amp; IF(DF41="","",TEXT(DF41,"h:mm")) &amp; """, """ &amp; IF(DG41="","",TEXT(DG41,"h:mm")) &amp; """],"</f>
        <v>["来居", "19:28", "19:30"],</v>
      </c>
      <c r="DI41" s="18" t="n">
        <f aca="false">IF(AND(LEN(DF41)&lt;&gt;0,LEN(DG41)&lt;&gt;0),((HOUR(DG41)*60)+MINUTE(DG41))-((HOUR(DF41)*60)+MINUTE(DF41)),"")</f>
        <v>2</v>
      </c>
      <c r="DJ41" s="21" t="s">
        <v>31</v>
      </c>
      <c r="DK41" s="22" t="n">
        <v>0.811111111111111</v>
      </c>
      <c r="DL41" s="22" t="n">
        <v>0.8125</v>
      </c>
      <c r="DM41" s="1" t="str">
        <f aca="false">"[""" &amp; DJ41 &amp; """, """ &amp; IF(DK41="","",TEXT(DK41,"h:mm")) &amp; """, """ &amp; IF(DL41="","",TEXT(DL41,"h:mm")) &amp; """],"</f>
        <v>["来居", "19:28", "19:30"],</v>
      </c>
      <c r="DN41" s="18" t="n">
        <f aca="false">IF(AND(LEN(DK41)&lt;&gt;0,LEN(DL41)&lt;&gt;0),((HOUR(DL41)*60)+MINUTE(DL41))-((HOUR(DK41)*60)+MINUTE(DK41)),"")</f>
        <v>2</v>
      </c>
      <c r="DO41" s="21" t="s">
        <v>31</v>
      </c>
      <c r="DP41" s="22" t="n">
        <v>0.811111111111111</v>
      </c>
      <c r="DQ41" s="22" t="n">
        <v>0.8125</v>
      </c>
      <c r="DR41" s="1" t="str">
        <f aca="false">"[""" &amp; DO41 &amp; """, """ &amp; IF(DP41="","",TEXT(DP41,"h:mm")) &amp; """, """ &amp; IF(DQ41="","",TEXT(DQ41,"h:mm")) &amp; """],"</f>
        <v>["来居", "19:28", "19:30"],</v>
      </c>
      <c r="DS41" s="18" t="n">
        <f aca="false">IF(AND(LEN(DP41)&lt;&gt;0,LEN(DQ41)&lt;&gt;0),((HOUR(DQ41)*60)+MINUTE(DQ41))-((HOUR(DP41)*60)+MINUTE(DP41)),"")</f>
        <v>2</v>
      </c>
      <c r="DY41" s="20"/>
      <c r="DZ41" s="20"/>
      <c r="EA41" s="20"/>
      <c r="EC41" s="18"/>
      <c r="ED41" s="20"/>
      <c r="EE41" s="20"/>
      <c r="EF41" s="20"/>
      <c r="EH41" s="18"/>
      <c r="EI41" s="20"/>
      <c r="EJ41" s="20"/>
      <c r="EK41" s="20"/>
      <c r="EM41" s="18"/>
      <c r="EN41" s="20"/>
      <c r="EO41" s="20"/>
      <c r="EP41" s="20"/>
      <c r="ER41" s="18"/>
    </row>
    <row r="42" customFormat="false" ht="18" hidden="false" customHeight="false" outlineLevel="0" collapsed="false">
      <c r="CZ42" s="19" t="s">
        <v>30</v>
      </c>
      <c r="DA42" s="19" t="n">
        <v>0.827083333333333</v>
      </c>
      <c r="DB42" s="19" t="n">
        <v>0.828472222222222</v>
      </c>
      <c r="DC42" s="1" t="str">
        <f aca="false">"[""" &amp; CZ42 &amp; """, """ &amp; IF(DA42="","",TEXT(DA42,"h:mm")) &amp; """, """ &amp; IF(DB42="","",TEXT(DB42,"h:mm")) &amp; """],"</f>
        <v>["菱浦", "19:51", "19:53"],</v>
      </c>
      <c r="DD42" s="18" t="n">
        <f aca="false">IF(AND(LEN(DA42)&lt;&gt;0,LEN(DB42)&lt;&gt;0),((HOUR(DB42)*60)+MINUTE(DB42))-((HOUR(DA42)*60)+MINUTE(DA42)),"")</f>
        <v>2</v>
      </c>
      <c r="DE42" s="19" t="s">
        <v>30</v>
      </c>
      <c r="DF42" s="19" t="n">
        <v>0.827083333333333</v>
      </c>
      <c r="DG42" s="19" t="n">
        <v>0.828472222222222</v>
      </c>
      <c r="DH42" s="1" t="str">
        <f aca="false">"[""" &amp; DE42 &amp; """, """ &amp; IF(DF42="","",TEXT(DF42,"h:mm")) &amp; """, """ &amp; IF(DG42="","",TEXT(DG42,"h:mm")) &amp; """],"</f>
        <v>["菱浦", "19:51", "19:53"],</v>
      </c>
      <c r="DI42" s="18" t="n">
        <f aca="false">IF(AND(LEN(DF42)&lt;&gt;0,LEN(DG42)&lt;&gt;0),((HOUR(DG42)*60)+MINUTE(DG42))-((HOUR(DF42)*60)+MINUTE(DF42)),"")</f>
        <v>2</v>
      </c>
      <c r="DJ42" s="19" t="s">
        <v>30</v>
      </c>
      <c r="DK42" s="19" t="n">
        <v>0.827083333333333</v>
      </c>
      <c r="DL42" s="19" t="n">
        <v>0.828472222222222</v>
      </c>
      <c r="DM42" s="1" t="str">
        <f aca="false">"[""" &amp; DJ42 &amp; """, """ &amp; IF(DK42="","",TEXT(DK42,"h:mm")) &amp; """, """ &amp; IF(DL42="","",TEXT(DL42,"h:mm")) &amp; """],"</f>
        <v>["菱浦", "19:51", "19:53"],</v>
      </c>
      <c r="DN42" s="18" t="n">
        <f aca="false">IF(AND(LEN(DK42)&lt;&gt;0,LEN(DL42)&lt;&gt;0),((HOUR(DL42)*60)+MINUTE(DL42))-((HOUR(DK42)*60)+MINUTE(DK42)),"")</f>
        <v>2</v>
      </c>
      <c r="DO42" s="19" t="s">
        <v>30</v>
      </c>
      <c r="DP42" s="19" t="n">
        <v>0.827083333333333</v>
      </c>
      <c r="DQ42" s="19" t="n">
        <v>0.828472222222222</v>
      </c>
      <c r="DR42" s="1" t="str">
        <f aca="false">"[""" &amp; DO42 &amp; """, """ &amp; IF(DP42="","",TEXT(DP42,"h:mm")) &amp; """, """ &amp; IF(DQ42="","",TEXT(DQ42,"h:mm")) &amp; """],"</f>
        <v>["菱浦", "19:51", "19:53"],</v>
      </c>
      <c r="DS42" s="18" t="n">
        <f aca="false">IF(AND(LEN(DP42)&lt;&gt;0,LEN(DQ42)&lt;&gt;0),((HOUR(DQ42)*60)+MINUTE(DQ42))-((HOUR(DP42)*60)+MINUTE(DP42)),"")</f>
        <v>2</v>
      </c>
      <c r="DY42" s="20"/>
      <c r="DZ42" s="20"/>
      <c r="EA42" s="20"/>
      <c r="EC42" s="18"/>
      <c r="ED42" s="20"/>
      <c r="EE42" s="20"/>
      <c r="EF42" s="20"/>
      <c r="EH42" s="18"/>
      <c r="EI42" s="20"/>
      <c r="EJ42" s="20"/>
      <c r="EK42" s="20"/>
      <c r="EM42" s="18"/>
      <c r="EN42" s="20"/>
      <c r="EO42" s="20"/>
      <c r="EP42" s="20"/>
      <c r="ER42" s="18"/>
    </row>
    <row r="43" customFormat="false" ht="18" hidden="false" customHeight="false" outlineLevel="0" collapsed="false">
      <c r="CZ43" s="20" t="s">
        <v>29</v>
      </c>
      <c r="DA43" s="20" t="n">
        <v>0.834027777777778</v>
      </c>
      <c r="DB43" s="20" t="n">
        <v>0.838194444444445</v>
      </c>
      <c r="DC43" s="1" t="str">
        <f aca="false">"[""" &amp; CZ43 &amp; """, """ &amp; IF(DA43="","",TEXT(DA43,"h:mm")) &amp; """, """ &amp; IF(DB43="","",TEXT(DB43,"h:mm")) &amp; """],"</f>
        <v>["別府", "20:01", "20:07"],</v>
      </c>
      <c r="DD43" s="18" t="n">
        <f aca="false">IF(AND(LEN(DA43)&lt;&gt;0,LEN(DB43)&lt;&gt;0),((HOUR(DB43)*60)+MINUTE(DB43))-((HOUR(DA43)*60)+MINUTE(DA43)),"")</f>
        <v>6</v>
      </c>
      <c r="DE43" s="20" t="s">
        <v>29</v>
      </c>
      <c r="DF43" s="20" t="n">
        <v>0.834027777777778</v>
      </c>
      <c r="DG43" s="20" t="n">
        <v>0.838194444444445</v>
      </c>
      <c r="DH43" s="1" t="str">
        <f aca="false">"[""" &amp; DE43 &amp; """, """ &amp; IF(DF43="","",TEXT(DF43,"h:mm")) &amp; """, """ &amp; IF(DG43="","",TEXT(DG43,"h:mm")) &amp; """],"</f>
        <v>["別府", "20:01", "20:07"],</v>
      </c>
      <c r="DI43" s="18" t="n">
        <f aca="false">IF(AND(LEN(DF43)&lt;&gt;0,LEN(DG43)&lt;&gt;0),((HOUR(DG43)*60)+MINUTE(DG43))-((HOUR(DF43)*60)+MINUTE(DF43)),"")</f>
        <v>6</v>
      </c>
      <c r="DJ43" s="20" t="s">
        <v>29</v>
      </c>
      <c r="DK43" s="20" t="n">
        <v>0.834027777777778</v>
      </c>
      <c r="DL43" s="20" t="n">
        <v>0.838194444444445</v>
      </c>
      <c r="DM43" s="1" t="str">
        <f aca="false">"[""" &amp; DJ43 &amp; """, """ &amp; IF(DK43="","",TEXT(DK43,"h:mm")) &amp; """, """ &amp; IF(DL43="","",TEXT(DL43,"h:mm")) &amp; """],"</f>
        <v>["別府", "20:01", "20:07"],</v>
      </c>
      <c r="DN43" s="18" t="n">
        <f aca="false">IF(AND(LEN(DK43)&lt;&gt;0,LEN(DL43)&lt;&gt;0),((HOUR(DL43)*60)+MINUTE(DL43))-((HOUR(DK43)*60)+MINUTE(DK43)),"")</f>
        <v>6</v>
      </c>
      <c r="DO43" s="20" t="s">
        <v>29</v>
      </c>
      <c r="DP43" s="20" t="n">
        <v>0.834027777777778</v>
      </c>
      <c r="DQ43" s="20" t="n">
        <v>0.838194444444445</v>
      </c>
      <c r="DR43" s="1" t="str">
        <f aca="false">"[""" &amp; DO43 &amp; """, """ &amp; IF(DP43="","",TEXT(DP43,"h:mm")) &amp; """, """ &amp; IF(DQ43="","",TEXT(DQ43,"h:mm")) &amp; """],"</f>
        <v>["別府", "20:01", "20:07"],</v>
      </c>
      <c r="DS43" s="18" t="n">
        <f aca="false">IF(AND(LEN(DP43)&lt;&gt;0,LEN(DQ43)&lt;&gt;0),((HOUR(DQ43)*60)+MINUTE(DQ43))-((HOUR(DP43)*60)+MINUTE(DP43)),"")</f>
        <v>6</v>
      </c>
      <c r="DY43" s="20"/>
      <c r="DZ43" s="20"/>
      <c r="EA43" s="20"/>
      <c r="EC43" s="18"/>
      <c r="ED43" s="20"/>
      <c r="EE43" s="20"/>
      <c r="EF43" s="20"/>
      <c r="EH43" s="18"/>
      <c r="EI43" s="20"/>
      <c r="EJ43" s="20"/>
      <c r="EK43" s="20"/>
      <c r="EM43" s="18"/>
      <c r="EN43" s="20"/>
      <c r="EO43" s="20"/>
      <c r="EP43" s="20"/>
      <c r="ER43" s="18"/>
    </row>
    <row r="44" customFormat="false" ht="18" hidden="false" customHeight="false" outlineLevel="0" collapsed="false">
      <c r="CZ44" s="19" t="s">
        <v>30</v>
      </c>
      <c r="DA44" s="19" t="n">
        <v>0.84375</v>
      </c>
      <c r="DB44" s="19" t="n">
        <v>0.845138888888889</v>
      </c>
      <c r="DC44" s="1" t="str">
        <f aca="false">"[""" &amp; CZ44 &amp; """, """ &amp; IF(DA44="","",TEXT(DA44,"h:mm")) &amp; """, """ &amp; IF(DB44="","",TEXT(DB44,"h:mm")) &amp; """],"</f>
        <v>["菱浦", "20:15", "20:17"],</v>
      </c>
      <c r="DD44" s="18" t="n">
        <f aca="false">IF(AND(LEN(DA44)&lt;&gt;0,LEN(DB44)&lt;&gt;0),((HOUR(DB44)*60)+MINUTE(DB44))-((HOUR(DA44)*60)+MINUTE(DA44)),"")</f>
        <v>2</v>
      </c>
      <c r="DE44" s="19" t="s">
        <v>30</v>
      </c>
      <c r="DF44" s="19" t="n">
        <v>0.84375</v>
      </c>
      <c r="DG44" s="19" t="n">
        <v>0.845138888888889</v>
      </c>
      <c r="DH44" s="1" t="str">
        <f aca="false">"[""" &amp; DE44 &amp; """, """ &amp; IF(DF44="","",TEXT(DF44,"h:mm")) &amp; """, """ &amp; IF(DG44="","",TEXT(DG44,"h:mm")) &amp; """],"</f>
        <v>["菱浦", "20:15", "20:17"],</v>
      </c>
      <c r="DI44" s="18" t="n">
        <f aca="false">IF(AND(LEN(DF44)&lt;&gt;0,LEN(DG44)&lt;&gt;0),((HOUR(DG44)*60)+MINUTE(DG44))-((HOUR(DF44)*60)+MINUTE(DF44)),"")</f>
        <v>2</v>
      </c>
      <c r="DJ44" s="19" t="s">
        <v>30</v>
      </c>
      <c r="DK44" s="19" t="n">
        <v>0.84375</v>
      </c>
      <c r="DL44" s="19" t="n">
        <v>0.845138888888889</v>
      </c>
      <c r="DM44" s="1" t="str">
        <f aca="false">"[""" &amp; DJ44 &amp; """, """ &amp; IF(DK44="","",TEXT(DK44,"h:mm")) &amp; """, """ &amp; IF(DL44="","",TEXT(DL44,"h:mm")) &amp; """],"</f>
        <v>["菱浦", "20:15", "20:17"],</v>
      </c>
      <c r="DN44" s="18" t="n">
        <f aca="false">IF(AND(LEN(DK44)&lt;&gt;0,LEN(DL44)&lt;&gt;0),((HOUR(DL44)*60)+MINUTE(DL44))-((HOUR(DK44)*60)+MINUTE(DK44)),"")</f>
        <v>2</v>
      </c>
      <c r="DO44" s="19" t="s">
        <v>30</v>
      </c>
      <c r="DP44" s="19" t="n">
        <v>0.84375</v>
      </c>
      <c r="DQ44" s="19" t="n">
        <v>0.845138888888889</v>
      </c>
      <c r="DR44" s="1" t="str">
        <f aca="false">"[""" &amp; DO44 &amp; """, """ &amp; IF(DP44="","",TEXT(DP44,"h:mm")) &amp; """, """ &amp; IF(DQ44="","",TEXT(DQ44,"h:mm")) &amp; """],"</f>
        <v>["菱浦", "20:15", "20:17"],</v>
      </c>
      <c r="DS44" s="18" t="n">
        <f aca="false">IF(AND(LEN(DP44)&lt;&gt;0,LEN(DQ44)&lt;&gt;0),((HOUR(DQ44)*60)+MINUTE(DQ44))-((HOUR(DP44)*60)+MINUTE(DP44)),"")</f>
        <v>2</v>
      </c>
      <c r="DY44" s="20"/>
      <c r="DZ44" s="20"/>
      <c r="EA44" s="20"/>
      <c r="EC44" s="18"/>
      <c r="ED44" s="20"/>
      <c r="EE44" s="20"/>
      <c r="EF44" s="20"/>
      <c r="EH44" s="18"/>
      <c r="EI44" s="20"/>
      <c r="EJ44" s="20"/>
      <c r="EK44" s="20"/>
      <c r="EM44" s="18"/>
      <c r="EN44" s="20"/>
      <c r="EO44" s="20"/>
      <c r="EP44" s="20"/>
      <c r="ER44" s="18"/>
    </row>
    <row r="45" customFormat="false" ht="18" hidden="false" customHeight="false" outlineLevel="0" collapsed="false">
      <c r="CZ45" s="21" t="s">
        <v>31</v>
      </c>
      <c r="DA45" s="22" t="n">
        <v>0.859722222222222</v>
      </c>
      <c r="DB45" s="22" t="n">
        <v>0.861111111111111</v>
      </c>
      <c r="DC45" s="1" t="str">
        <f aca="false">"[""" &amp; CZ45 &amp; """, """ &amp; IF(DA45="","",TEXT(DA45,"h:mm")) &amp; """, """ &amp; IF(DB45="","",TEXT(DB45,"h:mm")) &amp; """],"</f>
        <v>["来居", "20:38", "20:40"],</v>
      </c>
      <c r="DD45" s="18" t="n">
        <f aca="false">IF(AND(LEN(DA45)&lt;&gt;0,LEN(DB45)&lt;&gt;0),((HOUR(DB45)*60)+MINUTE(DB45))-((HOUR(DA45)*60)+MINUTE(DA45)),"")</f>
        <v>2</v>
      </c>
      <c r="DE45" s="21" t="s">
        <v>31</v>
      </c>
      <c r="DF45" s="22" t="n">
        <v>0.859722222222222</v>
      </c>
      <c r="DG45" s="22" t="n">
        <v>0.861111111111111</v>
      </c>
      <c r="DH45" s="1" t="str">
        <f aca="false">"[""" &amp; DE45 &amp; """, """ &amp; IF(DF45="","",TEXT(DF45,"h:mm")) &amp; """, """ &amp; IF(DG45="","",TEXT(DG45,"h:mm")) &amp; """],"</f>
        <v>["来居", "20:38", "20:40"],</v>
      </c>
      <c r="DI45" s="18" t="n">
        <f aca="false">IF(AND(LEN(DF45)&lt;&gt;0,LEN(DG45)&lt;&gt;0),((HOUR(DG45)*60)+MINUTE(DG45))-((HOUR(DF45)*60)+MINUTE(DF45)),"")</f>
        <v>2</v>
      </c>
      <c r="DJ45" s="21" t="s">
        <v>31</v>
      </c>
      <c r="DK45" s="22" t="n">
        <v>0.859722222222222</v>
      </c>
      <c r="DL45" s="22" t="n">
        <v>0.861111111111111</v>
      </c>
      <c r="DM45" s="1" t="str">
        <f aca="false">"[""" &amp; DJ45 &amp; """, """ &amp; IF(DK45="","",TEXT(DK45,"h:mm")) &amp; """, """ &amp; IF(DL45="","",TEXT(DL45,"h:mm")) &amp; """],"</f>
        <v>["来居", "20:38", "20:40"],</v>
      </c>
      <c r="DN45" s="18" t="n">
        <f aca="false">IF(AND(LEN(DK45)&lt;&gt;0,LEN(DL45)&lt;&gt;0),((HOUR(DL45)*60)+MINUTE(DL45))-((HOUR(DK45)*60)+MINUTE(DK45)),"")</f>
        <v>2</v>
      </c>
      <c r="DO45" s="21" t="s">
        <v>31</v>
      </c>
      <c r="DP45" s="22" t="n">
        <v>0.859722222222222</v>
      </c>
      <c r="DQ45" s="22" t="n">
        <v>0.861111111111111</v>
      </c>
      <c r="DR45" s="1" t="str">
        <f aca="false">"[""" &amp; DO45 &amp; """, """ &amp; IF(DP45="","",TEXT(DP45,"h:mm")) &amp; """, """ &amp; IF(DQ45="","",TEXT(DQ45,"h:mm")) &amp; """],"</f>
        <v>["来居", "20:38", "20:40"],</v>
      </c>
      <c r="DS45" s="18" t="n">
        <f aca="false">IF(AND(LEN(DP45)&lt;&gt;0,LEN(DQ45)&lt;&gt;0),((HOUR(DQ45)*60)+MINUTE(DQ45))-((HOUR(DP45)*60)+MINUTE(DP45)),"")</f>
        <v>2</v>
      </c>
      <c r="DY45" s="21"/>
      <c r="DZ45" s="22"/>
      <c r="EA45" s="22"/>
      <c r="EC45" s="18"/>
      <c r="ED45" s="21"/>
      <c r="EE45" s="22"/>
      <c r="EF45" s="22"/>
      <c r="EH45" s="18"/>
      <c r="EI45" s="21"/>
      <c r="EJ45" s="22"/>
      <c r="EK45" s="22"/>
      <c r="EM45" s="18"/>
      <c r="EN45" s="21"/>
      <c r="EO45" s="22"/>
      <c r="EP45" s="22"/>
      <c r="ER45" s="18"/>
    </row>
    <row r="46" customFormat="false" ht="18" hidden="false" customHeight="false" outlineLevel="0" collapsed="false">
      <c r="CZ46" s="19" t="s">
        <v>30</v>
      </c>
      <c r="DA46" s="19" t="n">
        <v>0.875694444444444</v>
      </c>
      <c r="DB46" s="19" t="n">
        <v>0.877083333333333</v>
      </c>
      <c r="DC46" s="1" t="str">
        <f aca="false">"[""" &amp; CZ46 &amp; """, """ &amp; IF(DA46="","",TEXT(DA46,"h:mm")) &amp; """, """ &amp; IF(DB46="","",TEXT(DB46,"h:mm")) &amp; """],"</f>
        <v>["菱浦", "21:01", "21:03"],</v>
      </c>
      <c r="DD46" s="18" t="n">
        <f aca="false">IF(AND(LEN(DA46)&lt;&gt;0,LEN(DB46)&lt;&gt;0),((HOUR(DB46)*60)+MINUTE(DB46))-((HOUR(DA46)*60)+MINUTE(DA46)),"")</f>
        <v>2</v>
      </c>
      <c r="DE46" s="19" t="s">
        <v>30</v>
      </c>
      <c r="DF46" s="19" t="n">
        <v>0.875694444444444</v>
      </c>
      <c r="DG46" s="19" t="n">
        <v>0.877083333333333</v>
      </c>
      <c r="DH46" s="1" t="str">
        <f aca="false">"[""" &amp; DE46 &amp; """, """ &amp; IF(DF46="","",TEXT(DF46,"h:mm")) &amp; """, """ &amp; IF(DG46="","",TEXT(DG46,"h:mm")) &amp; """],"</f>
        <v>["菱浦", "21:01", "21:03"],</v>
      </c>
      <c r="DI46" s="18" t="n">
        <f aca="false">IF(AND(LEN(DF46)&lt;&gt;0,LEN(DG46)&lt;&gt;0),((HOUR(DG46)*60)+MINUTE(DG46))-((HOUR(DF46)*60)+MINUTE(DF46)),"")</f>
        <v>2</v>
      </c>
      <c r="DJ46" s="19" t="s">
        <v>30</v>
      </c>
      <c r="DK46" s="19" t="n">
        <v>0.875694444444444</v>
      </c>
      <c r="DL46" s="19" t="n">
        <v>0.877083333333333</v>
      </c>
      <c r="DM46" s="1" t="str">
        <f aca="false">"[""" &amp; DJ46 &amp; """, """ &amp; IF(DK46="","",TEXT(DK46,"h:mm")) &amp; """, """ &amp; IF(DL46="","",TEXT(DL46,"h:mm")) &amp; """],"</f>
        <v>["菱浦", "21:01", "21:03"],</v>
      </c>
      <c r="DN46" s="18" t="n">
        <f aca="false">IF(AND(LEN(DK46)&lt;&gt;0,LEN(DL46)&lt;&gt;0),((HOUR(DL46)*60)+MINUTE(DL46))-((HOUR(DK46)*60)+MINUTE(DK46)),"")</f>
        <v>2</v>
      </c>
      <c r="DO46" s="19" t="s">
        <v>30</v>
      </c>
      <c r="DP46" s="19" t="n">
        <v>0.875694444444444</v>
      </c>
      <c r="DQ46" s="19" t="n">
        <v>0.877083333333333</v>
      </c>
      <c r="DR46" s="1" t="str">
        <f aca="false">"[""" &amp; DO46 &amp; """, """ &amp; IF(DP46="","",TEXT(DP46,"h:mm")) &amp; """, """ &amp; IF(DQ46="","",TEXT(DQ46,"h:mm")) &amp; """],"</f>
        <v>["菱浦", "21:01", "21:03"],</v>
      </c>
      <c r="DS46" s="18" t="n">
        <f aca="false">IF(AND(LEN(DP46)&lt;&gt;0,LEN(DQ46)&lt;&gt;0),((HOUR(DQ46)*60)+MINUTE(DQ46))-((HOUR(DP46)*60)+MINUTE(DP46)),"")</f>
        <v>2</v>
      </c>
      <c r="DY46" s="19"/>
      <c r="DZ46" s="19"/>
      <c r="EA46" s="19"/>
      <c r="EC46" s="18"/>
      <c r="ED46" s="19"/>
      <c r="EE46" s="19"/>
      <c r="EF46" s="19"/>
      <c r="EH46" s="18"/>
      <c r="EI46" s="19"/>
      <c r="EJ46" s="19"/>
      <c r="EK46" s="19"/>
      <c r="EM46" s="18"/>
      <c r="EN46" s="19"/>
      <c r="EO46" s="19"/>
      <c r="EP46" s="19"/>
      <c r="ER46" s="18"/>
    </row>
    <row r="47" customFormat="false" ht="18" hidden="false" customHeight="false" outlineLevel="0" collapsed="false">
      <c r="CZ47" s="20" t="s">
        <v>29</v>
      </c>
      <c r="DA47" s="20" t="n">
        <v>0.882638888888889</v>
      </c>
      <c r="DB47" s="20" t="n">
        <v>0.884027777777778</v>
      </c>
      <c r="DC47" s="1" t="str">
        <f aca="false">"[""" &amp; CZ47 &amp; """, """ &amp; IF(DA47="","",TEXT(DA47,"h:mm")) &amp; """, """ &amp; IF(DB47="","",TEXT(DB47,"h:mm")) &amp; """],"</f>
        <v>["別府", "21:11", "21:13"],</v>
      </c>
      <c r="DD47" s="18" t="n">
        <f aca="false">IF(AND(LEN(DA47)&lt;&gt;0,LEN(DB47)&lt;&gt;0),((HOUR(DB47)*60)+MINUTE(DB47))-((HOUR(DA47)*60)+MINUTE(DA47)),"")</f>
        <v>2</v>
      </c>
      <c r="DE47" s="20" t="s">
        <v>29</v>
      </c>
      <c r="DF47" s="20" t="n">
        <v>0.882638888888889</v>
      </c>
      <c r="DG47" s="20" t="n">
        <v>0.884027777777778</v>
      </c>
      <c r="DH47" s="1" t="str">
        <f aca="false">"[""" &amp; DE47 &amp; """, """ &amp; IF(DF47="","",TEXT(DF47,"h:mm")) &amp; """, """ &amp; IF(DG47="","",TEXT(DG47,"h:mm")) &amp; """],"</f>
        <v>["別府", "21:11", "21:13"],</v>
      </c>
      <c r="DI47" s="18" t="n">
        <f aca="false">IF(AND(LEN(DF47)&lt;&gt;0,LEN(DG47)&lt;&gt;0),((HOUR(DG47)*60)+MINUTE(DG47))-((HOUR(DF47)*60)+MINUTE(DF47)),"")</f>
        <v>2</v>
      </c>
      <c r="DJ47" s="20" t="s">
        <v>29</v>
      </c>
      <c r="DK47" s="20" t="n">
        <v>0.882638888888889</v>
      </c>
      <c r="DL47" s="20" t="n">
        <v>0.884027777777778</v>
      </c>
      <c r="DM47" s="1" t="str">
        <f aca="false">"[""" &amp; DJ47 &amp; """, """ &amp; IF(DK47="","",TEXT(DK47,"h:mm")) &amp; """, """ &amp; IF(DL47="","",TEXT(DL47,"h:mm")) &amp; """],"</f>
        <v>["別府", "21:11", "21:13"],</v>
      </c>
      <c r="DN47" s="18" t="n">
        <f aca="false">IF(AND(LEN(DK47)&lt;&gt;0,LEN(DL47)&lt;&gt;0),((HOUR(DL47)*60)+MINUTE(DL47))-((HOUR(DK47)*60)+MINUTE(DK47)),"")</f>
        <v>2</v>
      </c>
      <c r="DO47" s="20" t="s">
        <v>29</v>
      </c>
      <c r="DP47" s="20" t="n">
        <v>0.882638888888889</v>
      </c>
      <c r="DQ47" s="20" t="n">
        <v>0.884027777777778</v>
      </c>
      <c r="DR47" s="1" t="str">
        <f aca="false">"[""" &amp; DO47 &amp; """, """ &amp; IF(DP47="","",TEXT(DP47,"h:mm")) &amp; """, """ &amp; IF(DQ47="","",TEXT(DQ47,"h:mm")) &amp; """],"</f>
        <v>["別府", "21:11", "21:13"],</v>
      </c>
      <c r="DS47" s="18" t="n">
        <f aca="false">IF(AND(LEN(DP47)&lt;&gt;0,LEN(DQ47)&lt;&gt;0),((HOUR(DQ47)*60)+MINUTE(DQ47))-((HOUR(DP47)*60)+MINUTE(DP47)),"")</f>
        <v>2</v>
      </c>
      <c r="DY47" s="19"/>
      <c r="DZ47" s="19"/>
      <c r="EA47" s="19"/>
      <c r="EC47" s="18"/>
      <c r="ED47" s="19"/>
      <c r="EE47" s="19"/>
      <c r="EF47" s="19"/>
      <c r="EH47" s="18"/>
      <c r="EI47" s="19"/>
      <c r="EJ47" s="19"/>
      <c r="EK47" s="19"/>
      <c r="EM47" s="18"/>
      <c r="EN47" s="19"/>
      <c r="EO47" s="19"/>
      <c r="EP47" s="19"/>
      <c r="ER47" s="18"/>
    </row>
    <row r="48" customFormat="false" ht="18" hidden="false" customHeight="false" outlineLevel="0" collapsed="false">
      <c r="CZ48" s="19" t="s">
        <v>30</v>
      </c>
      <c r="DA48" s="19" t="n">
        <v>0.889583333333333</v>
      </c>
      <c r="DB48" s="19" t="n">
        <v>0.890972222222222</v>
      </c>
      <c r="DC48" s="1" t="str">
        <f aca="false">"[""" &amp; CZ48 &amp; """, """ &amp; IF(DA48="","",TEXT(DA48,"h:mm")) &amp; """, """ &amp; IF(DB48="","",TEXT(DB48,"h:mm")) &amp; """],"</f>
        <v>["菱浦", "21:21", "21:23"],</v>
      </c>
      <c r="DD48" s="18" t="n">
        <f aca="false">IF(AND(LEN(DA48)&lt;&gt;0,LEN(DB48)&lt;&gt;0),((HOUR(DB48)*60)+MINUTE(DB48))-((HOUR(DA48)*60)+MINUTE(DA48)),"")</f>
        <v>2</v>
      </c>
      <c r="DE48" s="19" t="s">
        <v>30</v>
      </c>
      <c r="DF48" s="19" t="n">
        <v>0.889583333333333</v>
      </c>
      <c r="DG48" s="19" t="n">
        <v>0.890972222222222</v>
      </c>
      <c r="DH48" s="1" t="str">
        <f aca="false">"[""" &amp; DE48 &amp; """, """ &amp; IF(DF48="","",TEXT(DF48,"h:mm")) &amp; """, """ &amp; IF(DG48="","",TEXT(DG48,"h:mm")) &amp; """],"</f>
        <v>["菱浦", "21:21", "21:23"],</v>
      </c>
      <c r="DI48" s="18" t="n">
        <f aca="false">IF(AND(LEN(DF48)&lt;&gt;0,LEN(DG48)&lt;&gt;0),((HOUR(DG48)*60)+MINUTE(DG48))-((HOUR(DF48)*60)+MINUTE(DF48)),"")</f>
        <v>2</v>
      </c>
      <c r="DJ48" s="19" t="s">
        <v>30</v>
      </c>
      <c r="DK48" s="19" t="n">
        <v>0.889583333333333</v>
      </c>
      <c r="DL48" s="19" t="n">
        <v>0.890972222222222</v>
      </c>
      <c r="DM48" s="1" t="str">
        <f aca="false">"[""" &amp; DJ48 &amp; """, """ &amp; IF(DK48="","",TEXT(DK48,"h:mm")) &amp; """, """ &amp; IF(DL48="","",TEXT(DL48,"h:mm")) &amp; """],"</f>
        <v>["菱浦", "21:21", "21:23"],</v>
      </c>
      <c r="DN48" s="18" t="n">
        <f aca="false">IF(AND(LEN(DK48)&lt;&gt;0,LEN(DL48)&lt;&gt;0),((HOUR(DL48)*60)+MINUTE(DL48))-((HOUR(DK48)*60)+MINUTE(DK48)),"")</f>
        <v>2</v>
      </c>
      <c r="DO48" s="19" t="s">
        <v>30</v>
      </c>
      <c r="DP48" s="19" t="n">
        <v>0.889583333333333</v>
      </c>
      <c r="DQ48" s="19" t="n">
        <v>0.890972222222222</v>
      </c>
      <c r="DR48" s="1" t="str">
        <f aca="false">"[""" &amp; DO48 &amp; """, """ &amp; IF(DP48="","",TEXT(DP48,"h:mm")) &amp; """, """ &amp; IF(DQ48="","",TEXT(DQ48,"h:mm")) &amp; """],"</f>
        <v>["菱浦", "21:21", "21:23"],</v>
      </c>
      <c r="DS48" s="18" t="n">
        <f aca="false">IF(AND(LEN(DP48)&lt;&gt;0,LEN(DQ48)&lt;&gt;0),((HOUR(DQ48)*60)+MINUTE(DQ48))-((HOUR(DP48)*60)+MINUTE(DP48)),"")</f>
        <v>2</v>
      </c>
      <c r="DY48" s="21"/>
      <c r="DZ48" s="22"/>
      <c r="EA48" s="22"/>
      <c r="EC48" s="18"/>
      <c r="ED48" s="21"/>
      <c r="EE48" s="22"/>
      <c r="EF48" s="22"/>
      <c r="EH48" s="18"/>
      <c r="EI48" s="21"/>
      <c r="EJ48" s="22"/>
      <c r="EK48" s="22"/>
      <c r="EM48" s="18"/>
      <c r="EN48" s="21"/>
      <c r="EO48" s="22"/>
      <c r="EP48" s="22"/>
      <c r="ER48" s="18"/>
    </row>
    <row r="49" customFormat="false" ht="18" hidden="false" customHeight="false" outlineLevel="0" collapsed="false">
      <c r="CZ49" s="21" t="s">
        <v>31</v>
      </c>
      <c r="DA49" s="22" t="n">
        <v>0.905555555555556</v>
      </c>
      <c r="DB49" s="22" t="n">
        <v>0.906944444444444</v>
      </c>
      <c r="DC49" s="1" t="str">
        <f aca="false">"[""" &amp; CZ49 &amp; """, """ &amp; IF(DA49="","",TEXT(DA49,"h:mm")) &amp; """, """ &amp; IF(DB49="","",TEXT(DB49,"h:mm")) &amp; """],"</f>
        <v>["来居", "21:44", "21:46"],</v>
      </c>
      <c r="DD49" s="18" t="n">
        <f aca="false">IF(AND(LEN(DA49)&lt;&gt;0,LEN(DB49)&lt;&gt;0),((HOUR(DB49)*60)+MINUTE(DB49))-((HOUR(DA49)*60)+MINUTE(DA49)),"")</f>
        <v>2</v>
      </c>
      <c r="DE49" s="21" t="s">
        <v>31</v>
      </c>
      <c r="DF49" s="22" t="n">
        <v>0.905555555555556</v>
      </c>
      <c r="DG49" s="22" t="n">
        <v>0.906944444444444</v>
      </c>
      <c r="DH49" s="1" t="str">
        <f aca="false">"[""" &amp; DE49 &amp; """, """ &amp; IF(DF49="","",TEXT(DF49,"h:mm")) &amp; """, """ &amp; IF(DG49="","",TEXT(DG49,"h:mm")) &amp; """],"</f>
        <v>["来居", "21:44", "21:46"],</v>
      </c>
      <c r="DI49" s="18" t="n">
        <f aca="false">IF(AND(LEN(DF49)&lt;&gt;0,LEN(DG49)&lt;&gt;0),((HOUR(DG49)*60)+MINUTE(DG49))-((HOUR(DF49)*60)+MINUTE(DF49)),"")</f>
        <v>2</v>
      </c>
      <c r="DJ49" s="21" t="s">
        <v>31</v>
      </c>
      <c r="DK49" s="22" t="n">
        <v>0.905555555555556</v>
      </c>
      <c r="DL49" s="22" t="n">
        <v>0.906944444444444</v>
      </c>
      <c r="DM49" s="1" t="str">
        <f aca="false">"[""" &amp; DJ49 &amp; """, """ &amp; IF(DK49="","",TEXT(DK49,"h:mm")) &amp; """, """ &amp; IF(DL49="","",TEXT(DL49,"h:mm")) &amp; """],"</f>
        <v>["来居", "21:44", "21:46"],</v>
      </c>
      <c r="DN49" s="18" t="n">
        <f aca="false">IF(AND(LEN(DK49)&lt;&gt;0,LEN(DL49)&lt;&gt;0),((HOUR(DL49)*60)+MINUTE(DL49))-((HOUR(DK49)*60)+MINUTE(DK49)),"")</f>
        <v>2</v>
      </c>
      <c r="DO49" s="21" t="s">
        <v>31</v>
      </c>
      <c r="DP49" s="22" t="n">
        <v>0.905555555555556</v>
      </c>
      <c r="DQ49" s="22" t="n">
        <v>0.906944444444444</v>
      </c>
      <c r="DR49" s="1" t="str">
        <f aca="false">"[""" &amp; DO49 &amp; """, """ &amp; IF(DP49="","",TEXT(DP49,"h:mm")) &amp; """, """ &amp; IF(DQ49="","",TEXT(DQ49,"h:mm")) &amp; """],"</f>
        <v>["来居", "21:44", "21:46"],</v>
      </c>
      <c r="DS49" s="18" t="n">
        <f aca="false">IF(AND(LEN(DP49)&lt;&gt;0,LEN(DQ49)&lt;&gt;0),((HOUR(DQ49)*60)+MINUTE(DQ49))-((HOUR(DP49)*60)+MINUTE(DP49)),"")</f>
        <v>2</v>
      </c>
      <c r="DY49" s="21"/>
      <c r="DZ49" s="22"/>
      <c r="EA49" s="22"/>
      <c r="EC49" s="18"/>
      <c r="ED49" s="21"/>
      <c r="EE49" s="22"/>
      <c r="EF49" s="22"/>
      <c r="EH49" s="18"/>
      <c r="EI49" s="21"/>
      <c r="EJ49" s="22"/>
      <c r="EK49" s="22"/>
      <c r="EM49" s="18"/>
      <c r="EN49" s="21"/>
      <c r="EO49" s="22"/>
      <c r="EP49" s="22"/>
      <c r="ER49" s="18"/>
    </row>
    <row r="50" customFormat="false" ht="18" hidden="false" customHeight="false" outlineLevel="0" collapsed="false">
      <c r="CZ50" s="19" t="s">
        <v>30</v>
      </c>
      <c r="DA50" s="19" t="n">
        <v>0.921527777777778</v>
      </c>
      <c r="DB50" s="19" t="n">
        <v>0.922916666666667</v>
      </c>
      <c r="DC50" s="1" t="str">
        <f aca="false">"[""" &amp; CZ50 &amp; """, """ &amp; IF(DA50="","",TEXT(DA50,"h:mm")) &amp; """, """ &amp; IF(DB50="","",TEXT(DB50,"h:mm")) &amp; """],"</f>
        <v>["菱浦", "22:07", "22:09"],</v>
      </c>
      <c r="DD50" s="18" t="n">
        <f aca="false">IF(AND(LEN(DA50)&lt;&gt;0,LEN(DB50)&lt;&gt;0),((HOUR(DB50)*60)+MINUTE(DB50))-((HOUR(DA50)*60)+MINUTE(DA50)),"")</f>
        <v>2</v>
      </c>
      <c r="DE50" s="19" t="s">
        <v>30</v>
      </c>
      <c r="DF50" s="19" t="n">
        <v>0.921527777777778</v>
      </c>
      <c r="DG50" s="19" t="n">
        <v>0.922916666666667</v>
      </c>
      <c r="DH50" s="1" t="str">
        <f aca="false">"[""" &amp; DE50 &amp; """, """ &amp; IF(DF50="","",TEXT(DF50,"h:mm")) &amp; """, """ &amp; IF(DG50="","",TEXT(DG50,"h:mm")) &amp; """],"</f>
        <v>["菱浦", "22:07", "22:09"],</v>
      </c>
      <c r="DI50" s="18" t="n">
        <f aca="false">IF(AND(LEN(DF50)&lt;&gt;0,LEN(DG50)&lt;&gt;0),((HOUR(DG50)*60)+MINUTE(DG50))-((HOUR(DF50)*60)+MINUTE(DF50)),"")</f>
        <v>2</v>
      </c>
      <c r="DJ50" s="19" t="s">
        <v>30</v>
      </c>
      <c r="DK50" s="19" t="n">
        <v>0.921527777777778</v>
      </c>
      <c r="DL50" s="19" t="n">
        <v>0.922916666666667</v>
      </c>
      <c r="DM50" s="1" t="str">
        <f aca="false">"[""" &amp; DJ50 &amp; """, """ &amp; IF(DK50="","",TEXT(DK50,"h:mm")) &amp; """, """ &amp; IF(DL50="","",TEXT(DL50,"h:mm")) &amp; """],"</f>
        <v>["菱浦", "22:07", "22:09"],</v>
      </c>
      <c r="DN50" s="18" t="n">
        <f aca="false">IF(AND(LEN(DK50)&lt;&gt;0,LEN(DL50)&lt;&gt;0),((HOUR(DL50)*60)+MINUTE(DL50))-((HOUR(DK50)*60)+MINUTE(DK50)),"")</f>
        <v>2</v>
      </c>
      <c r="DO50" s="19" t="s">
        <v>30</v>
      </c>
      <c r="DP50" s="19" t="n">
        <v>0.921527777777778</v>
      </c>
      <c r="DQ50" s="19" t="n">
        <v>0.922916666666667</v>
      </c>
      <c r="DR50" s="1" t="str">
        <f aca="false">"[""" &amp; DO50 &amp; """, """ &amp; IF(DP50="","",TEXT(DP50,"h:mm")) &amp; """, """ &amp; IF(DQ50="","",TEXT(DQ50,"h:mm")) &amp; """],"</f>
        <v>["菱浦", "22:07", "22:09"],</v>
      </c>
      <c r="DS50" s="18" t="n">
        <f aca="false">IF(AND(LEN(DP50)&lt;&gt;0,LEN(DQ50)&lt;&gt;0),((HOUR(DQ50)*60)+MINUTE(DQ50))-((HOUR(DP50)*60)+MINUTE(DP50)),"")</f>
        <v>2</v>
      </c>
      <c r="DY50" s="19"/>
      <c r="DZ50" s="19"/>
      <c r="EA50" s="19"/>
      <c r="EC50" s="18"/>
      <c r="ED50" s="19"/>
      <c r="EE50" s="19"/>
      <c r="EF50" s="19"/>
      <c r="EH50" s="18"/>
      <c r="EI50" s="19"/>
      <c r="EJ50" s="19"/>
      <c r="EK50" s="19"/>
      <c r="EM50" s="18"/>
      <c r="EN50" s="19"/>
      <c r="EO50" s="19"/>
      <c r="EP50" s="19"/>
      <c r="ER50" s="18"/>
    </row>
    <row r="51" customFormat="false" ht="18" hidden="false" customHeight="false" outlineLevel="0" collapsed="false">
      <c r="CZ51" s="20" t="s">
        <v>29</v>
      </c>
      <c r="DA51" s="20" t="n">
        <v>0.928472222222222</v>
      </c>
      <c r="DC51" s="1" t="str">
        <f aca="false">"[""" &amp; CZ51 &amp; """, """ &amp; IF(DA51="","",TEXT(DA51,"h:mm")) &amp; """, """ &amp; IF(DB51="","",TEXT(DB51,"h:mm")) &amp; """]"</f>
        <v>["別府", "22:17", ""]</v>
      </c>
      <c r="DD51" s="18" t="str">
        <f aca="false">IF(AND(LEN(DA51)&lt;&gt;0,LEN(DB51)&lt;&gt;0),((HOUR(DB51)*60)+MINUTE(DB51))-((HOUR(DA51)*60)+MINUTE(DA51)),"")</f>
        <v/>
      </c>
      <c r="DE51" s="20" t="s">
        <v>29</v>
      </c>
      <c r="DF51" s="20" t="n">
        <v>0.928472222222222</v>
      </c>
      <c r="DH51" s="1" t="str">
        <f aca="false">"[""" &amp; DE51 &amp; """, """ &amp; IF(DF51="","",TEXT(DF51,"h:mm")) &amp; """, """ &amp; IF(DG51="","",TEXT(DG51,"h:mm")) &amp; """]"</f>
        <v>["別府", "22:17", ""]</v>
      </c>
      <c r="DI51" s="18" t="str">
        <f aca="false">IF(AND(LEN(DF51)&lt;&gt;0,LEN(DG51)&lt;&gt;0),((HOUR(DG51)*60)+MINUTE(DG51))-((HOUR(DF51)*60)+MINUTE(DF51)),"")</f>
        <v/>
      </c>
      <c r="DJ51" s="20" t="s">
        <v>29</v>
      </c>
      <c r="DK51" s="20" t="n">
        <v>0.928472222222222</v>
      </c>
      <c r="DM51" s="1" t="str">
        <f aca="false">"[""" &amp; DJ51 &amp; """, """ &amp; IF(DK51="","",TEXT(DK51,"h:mm")) &amp; """, """ &amp; IF(DL51="","",TEXT(DL51,"h:mm")) &amp; """]"</f>
        <v>["別府", "22:17", ""]</v>
      </c>
      <c r="DN51" s="18" t="str">
        <f aca="false">IF(AND(LEN(DK51)&lt;&gt;0,LEN(DL51)&lt;&gt;0),((HOUR(DL51)*60)+MINUTE(DL51))-((HOUR(DK51)*60)+MINUTE(DK51)),"")</f>
        <v/>
      </c>
      <c r="DO51" s="20" t="s">
        <v>29</v>
      </c>
      <c r="DP51" s="20" t="n">
        <v>0.928472222222222</v>
      </c>
      <c r="DR51" s="1" t="str">
        <f aca="false">"[""" &amp; DO51 &amp; """, """ &amp; IF(DP51="","",TEXT(DP51,"h:mm")) &amp; """, """ &amp; IF(DQ51="","",TEXT(DQ51,"h:mm")) &amp; """]"</f>
        <v>["別府", "22:17", ""]</v>
      </c>
      <c r="DS51" s="18" t="str">
        <f aca="false">IF(AND(LEN(DP51)&lt;&gt;0,LEN(DQ51)&lt;&gt;0),((HOUR(DQ51)*60)+MINUTE(DQ51))-((HOUR(DP51)*60)+MINUTE(DP51)),"")</f>
        <v/>
      </c>
      <c r="DY51" s="19"/>
      <c r="DZ51" s="19"/>
      <c r="EA51" s="19"/>
      <c r="EC51" s="18"/>
      <c r="ED51" s="19"/>
      <c r="EE51" s="19"/>
      <c r="EF51" s="19"/>
      <c r="EH51" s="18"/>
      <c r="EI51" s="19"/>
      <c r="EJ51" s="19"/>
      <c r="EK51" s="19"/>
      <c r="EM51" s="18"/>
      <c r="EN51" s="19"/>
      <c r="EO51" s="19"/>
      <c r="EP51" s="19"/>
      <c r="ER51" s="18"/>
    </row>
    <row r="52" customFormat="false" ht="18" hidden="false" customHeight="false" outlineLevel="0" collapsed="false">
      <c r="DC52" s="1" t="s">
        <v>33</v>
      </c>
      <c r="DD52" s="18" t="str">
        <f aca="false">IF(AND(LEN(DA52)&lt;&gt;0,LEN(DB52)&lt;&gt;0),((HOUR(DB52)*60)+MINUTE(DB52))-((HOUR(DA52)*60)+MINUTE(DA52)),"")</f>
        <v/>
      </c>
      <c r="DH52" s="1" t="s">
        <v>33</v>
      </c>
      <c r="DI52" s="18" t="str">
        <f aca="false">IF(AND(LEN(DF52)&lt;&gt;0,LEN(DG52)&lt;&gt;0),((HOUR(DG52)*60)+MINUTE(DG52))-((HOUR(DF52)*60)+MINUTE(DF52)),"")</f>
        <v/>
      </c>
      <c r="DM52" s="1" t="s">
        <v>33</v>
      </c>
      <c r="DN52" s="18" t="str">
        <f aca="false">IF(AND(LEN(DK52)&lt;&gt;0,LEN(DL52)&lt;&gt;0),((HOUR(DL52)*60)+MINUTE(DL52))-((HOUR(DK52)*60)+MINUTE(DK52)),"")</f>
        <v/>
      </c>
      <c r="DR52" s="1" t="s">
        <v>33</v>
      </c>
      <c r="DS52" s="18" t="str">
        <f aca="false">IF(AND(LEN(DP52)&lt;&gt;0,LEN(DQ52)&lt;&gt;0),((HOUR(DQ52)*60)+MINUTE(DQ52))-((HOUR(DP52)*60)+MINUTE(DP52)),"")</f>
        <v/>
      </c>
      <c r="DY52" s="21"/>
      <c r="DZ52" s="22"/>
      <c r="EA52" s="22"/>
      <c r="EC52" s="18"/>
      <c r="ED52" s="21"/>
      <c r="EE52" s="22"/>
      <c r="EF52" s="22"/>
      <c r="EH52" s="18"/>
      <c r="EI52" s="21"/>
      <c r="EJ52" s="22"/>
      <c r="EK52" s="22"/>
      <c r="EM52" s="18"/>
      <c r="EN52" s="21"/>
      <c r="EO52" s="22"/>
      <c r="EP52" s="22"/>
      <c r="ER52" s="18"/>
    </row>
  </sheetData>
  <mergeCells count="87">
    <mergeCell ref="B2:D2"/>
    <mergeCell ref="G2:I2"/>
    <mergeCell ref="L2:N2"/>
    <mergeCell ref="Q2:S2"/>
    <mergeCell ref="V2:X2"/>
    <mergeCell ref="AA2:AC2"/>
    <mergeCell ref="AF2:AH2"/>
    <mergeCell ref="AK2:AM2"/>
    <mergeCell ref="AP2:AR2"/>
    <mergeCell ref="AU2:AW2"/>
    <mergeCell ref="BA2:BC2"/>
    <mergeCell ref="BF2:BH2"/>
    <mergeCell ref="BK2:BM2"/>
    <mergeCell ref="BP2:BR2"/>
    <mergeCell ref="BU2:BW2"/>
    <mergeCell ref="CA2:CC2"/>
    <mergeCell ref="CF2:CH2"/>
    <mergeCell ref="CK2:CM2"/>
    <mergeCell ref="CP2:CR2"/>
    <mergeCell ref="CV2:CX2"/>
    <mergeCell ref="DA2:DC2"/>
    <mergeCell ref="DF2:DH2"/>
    <mergeCell ref="DK2:DM2"/>
    <mergeCell ref="DP2:DR2"/>
    <mergeCell ref="DU2:DW2"/>
    <mergeCell ref="DZ2:EB2"/>
    <mergeCell ref="EE2:EG2"/>
    <mergeCell ref="EJ2:EL2"/>
    <mergeCell ref="EO2:EQ2"/>
    <mergeCell ref="A3:B3"/>
    <mergeCell ref="C3:D3"/>
    <mergeCell ref="F3:G3"/>
    <mergeCell ref="H3:I3"/>
    <mergeCell ref="K3:L3"/>
    <mergeCell ref="M3:N3"/>
    <mergeCell ref="P3:Q3"/>
    <mergeCell ref="R3:S3"/>
    <mergeCell ref="U3:V3"/>
    <mergeCell ref="W3:X3"/>
    <mergeCell ref="Z3:AA3"/>
    <mergeCell ref="AB3:AC3"/>
    <mergeCell ref="AE3:AF3"/>
    <mergeCell ref="AG3:AH3"/>
    <mergeCell ref="AJ3:AK3"/>
    <mergeCell ref="AL3:AM3"/>
    <mergeCell ref="AO3:AP3"/>
    <mergeCell ref="AQ3:AR3"/>
    <mergeCell ref="AT3:AU3"/>
    <mergeCell ref="AV3:AW3"/>
    <mergeCell ref="AZ3:BA3"/>
    <mergeCell ref="BB3:BC3"/>
    <mergeCell ref="BE3:BF3"/>
    <mergeCell ref="BG3:BH3"/>
    <mergeCell ref="BJ3:BK3"/>
    <mergeCell ref="BL3:BM3"/>
    <mergeCell ref="BO3:BP3"/>
    <mergeCell ref="BQ3:BR3"/>
    <mergeCell ref="BT3:BU3"/>
    <mergeCell ref="BV3:BW3"/>
    <mergeCell ref="BZ3:CA3"/>
    <mergeCell ref="CB3:CC3"/>
    <mergeCell ref="CE3:CF3"/>
    <mergeCell ref="CG3:CH3"/>
    <mergeCell ref="CJ3:CK3"/>
    <mergeCell ref="CL3:CM3"/>
    <mergeCell ref="CO3:CP3"/>
    <mergeCell ref="CQ3:CR3"/>
    <mergeCell ref="CU3:CV3"/>
    <mergeCell ref="CW3:CX3"/>
    <mergeCell ref="CZ3:DA3"/>
    <mergeCell ref="DB3:DC3"/>
    <mergeCell ref="DE3:DF3"/>
    <mergeCell ref="DG3:DH3"/>
    <mergeCell ref="DJ3:DK3"/>
    <mergeCell ref="DL3:DM3"/>
    <mergeCell ref="DO3:DP3"/>
    <mergeCell ref="DQ3:DR3"/>
    <mergeCell ref="DT3:DU3"/>
    <mergeCell ref="DV3:DW3"/>
    <mergeCell ref="DY3:DZ3"/>
    <mergeCell ref="EA3:EB3"/>
    <mergeCell ref="ED3:EE3"/>
    <mergeCell ref="EF3:EG3"/>
    <mergeCell ref="EI3:EJ3"/>
    <mergeCell ref="EK3:EL3"/>
    <mergeCell ref="EN3:EO3"/>
    <mergeCell ref="EP3:EQ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0146144-DB1C-4F97-9719-8B51E4F59984}">
            <xm:f>NOT(ISERROR(SEARCH($A$1-2,A1)))</xm:f>
            <xm:f>$A$1-2</xm:f>
            <x14:dxf>
              <font>
                <color rgb="00FFFFFF"/>
              </font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691DD0B2-E2C0-4046-8B82-80892632A539}">
            <xm:f>NOT(ISERROR(SEARCH($A$1-1,A1)))</xm:f>
            <xm:f>$A$1-1</xm:f>
            <x14:dxf>
              <font>
                <color rgb="FFC00000"/>
              </font>
            </x14:dxf>
          </x14:cfRule>
          <xm:sqref>1:1048576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E0B4"/>
    <pageSetUpPr fitToPage="false"/>
  </sheetPr>
  <dimension ref="A1:DI5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5.6015625" defaultRowHeight="18" customHeight="false" zeroHeight="false" outlineLevelRow="0" outlineLevelCol="0"/>
  <cols>
    <col collapsed="false" customWidth="true" hidden="false" outlineLevel="0" max="1" min="1" style="1" width="8.9"/>
    <col collapsed="false" customWidth="true" hidden="false" outlineLevel="0" max="3" min="2" style="1" width="9"/>
    <col collapsed="false" customWidth="true" hidden="false" outlineLevel="0" max="4" min="4" style="1" width="24.1"/>
    <col collapsed="false" customWidth="true" hidden="false" outlineLevel="0" max="5" min="5" style="2" width="4.5"/>
    <col collapsed="false" customWidth="true" hidden="false" outlineLevel="0" max="6" min="6" style="1" width="5.5"/>
    <col collapsed="false" customWidth="true" hidden="false" outlineLevel="0" max="8" min="7" style="1" width="9"/>
    <col collapsed="false" customWidth="true" hidden="false" outlineLevel="0" max="9" min="9" style="1" width="24.1"/>
    <col collapsed="false" customWidth="true" hidden="false" outlineLevel="0" max="10" min="10" style="2" width="4.5"/>
    <col collapsed="false" customWidth="true" hidden="false" outlineLevel="0" max="11" min="11" style="1" width="5.5"/>
    <col collapsed="false" customWidth="true" hidden="false" outlineLevel="0" max="13" min="12" style="1" width="9"/>
    <col collapsed="false" customWidth="true" hidden="false" outlineLevel="0" max="14" min="14" style="1" width="24.1"/>
    <col collapsed="false" customWidth="true" hidden="false" outlineLevel="0" max="15" min="15" style="2" width="4.5"/>
    <col collapsed="false" customWidth="true" hidden="false" outlineLevel="0" max="16" min="16" style="1" width="5.5"/>
    <col collapsed="false" customWidth="true" hidden="false" outlineLevel="0" max="18" min="17" style="1" width="9"/>
    <col collapsed="false" customWidth="true" hidden="false" outlineLevel="0" max="19" min="19" style="1" width="24.1"/>
    <col collapsed="false" customWidth="true" hidden="false" outlineLevel="0" max="20" min="20" style="2" width="4.5"/>
    <col collapsed="false" customWidth="true" hidden="false" outlineLevel="0" max="21" min="21" style="1" width="5.5"/>
    <col collapsed="false" customWidth="true" hidden="false" outlineLevel="0" max="23" min="22" style="1" width="9"/>
    <col collapsed="false" customWidth="true" hidden="false" outlineLevel="0" max="24" min="24" style="1" width="24.1"/>
    <col collapsed="false" customWidth="true" hidden="false" outlineLevel="0" max="25" min="25" style="2" width="4.5"/>
    <col collapsed="false" customWidth="true" hidden="false" outlineLevel="0" max="26" min="26" style="1" width="5.5"/>
    <col collapsed="false" customWidth="true" hidden="false" outlineLevel="0" max="28" min="27" style="1" width="9"/>
    <col collapsed="false" customWidth="true" hidden="false" outlineLevel="0" max="29" min="29" style="1" width="24.1"/>
    <col collapsed="false" customWidth="true" hidden="false" outlineLevel="0" max="30" min="30" style="2" width="4.5"/>
    <col collapsed="false" customWidth="true" hidden="false" outlineLevel="0" max="31" min="31" style="1" width="5.5"/>
    <col collapsed="false" customWidth="true" hidden="false" outlineLevel="0" max="33" min="32" style="1" width="9"/>
    <col collapsed="false" customWidth="true" hidden="false" outlineLevel="0" max="34" min="34" style="1" width="24.1"/>
    <col collapsed="false" customWidth="true" hidden="false" outlineLevel="0" max="35" min="35" style="2" width="4.5"/>
    <col collapsed="false" customWidth="true" hidden="false" outlineLevel="0" max="36" min="36" style="1" width="5.5"/>
    <col collapsed="false" customWidth="true" hidden="false" outlineLevel="0" max="38" min="37" style="1" width="9"/>
    <col collapsed="false" customWidth="true" hidden="false" outlineLevel="0" max="39" min="39" style="1" width="24.1"/>
    <col collapsed="false" customWidth="true" hidden="false" outlineLevel="0" max="40" min="40" style="2" width="4.5"/>
    <col collapsed="false" customWidth="true" hidden="false" outlineLevel="0" max="41" min="41" style="3" width="3.6"/>
    <col collapsed="false" customWidth="true" hidden="false" outlineLevel="0" max="42" min="42" style="1" width="5.5"/>
    <col collapsed="false" customWidth="true" hidden="false" outlineLevel="0" max="44" min="43" style="1" width="9"/>
    <col collapsed="false" customWidth="true" hidden="false" outlineLevel="0" max="45" min="45" style="1" width="24.2"/>
    <col collapsed="false" customWidth="true" hidden="false" outlineLevel="0" max="46" min="46" style="2" width="4.5"/>
    <col collapsed="false" customWidth="true" hidden="false" outlineLevel="0" max="47" min="47" style="1" width="5.5"/>
    <col collapsed="false" customWidth="true" hidden="false" outlineLevel="0" max="49" min="48" style="1" width="9"/>
    <col collapsed="false" customWidth="true" hidden="false" outlineLevel="0" max="50" min="50" style="1" width="24.1"/>
    <col collapsed="false" customWidth="true" hidden="false" outlineLevel="0" max="51" min="51" style="2" width="4.5"/>
    <col collapsed="false" customWidth="true" hidden="false" outlineLevel="0" max="52" min="52" style="1" width="5.5"/>
    <col collapsed="false" customWidth="true" hidden="false" outlineLevel="0" max="54" min="53" style="1" width="9"/>
    <col collapsed="false" customWidth="true" hidden="false" outlineLevel="0" max="55" min="55" style="1" width="24.1"/>
    <col collapsed="false" customWidth="true" hidden="false" outlineLevel="0" max="56" min="56" style="2" width="4.5"/>
    <col collapsed="false" customWidth="true" hidden="false" outlineLevel="0" max="57" min="57" style="1" width="5.5"/>
    <col collapsed="false" customWidth="true" hidden="false" outlineLevel="0" max="59" min="58" style="1" width="9"/>
    <col collapsed="false" customWidth="true" hidden="false" outlineLevel="0" max="60" min="60" style="1" width="24.1"/>
    <col collapsed="false" customWidth="true" hidden="false" outlineLevel="0" max="61" min="61" style="2" width="4.5"/>
    <col collapsed="false" customWidth="true" hidden="false" outlineLevel="0" max="62" min="62" style="1" width="5.5"/>
    <col collapsed="false" customWidth="true" hidden="false" outlineLevel="0" max="64" min="63" style="1" width="9"/>
    <col collapsed="false" customWidth="true" hidden="false" outlineLevel="0" max="65" min="65" style="1" width="24.1"/>
    <col collapsed="false" customWidth="true" hidden="false" outlineLevel="0" max="66" min="66" style="2" width="4.5"/>
    <col collapsed="false" customWidth="true" hidden="false" outlineLevel="0" max="67" min="67" style="4" width="3.6"/>
    <col collapsed="false" customWidth="true" hidden="false" outlineLevel="0" max="68" min="68" style="1" width="5.5"/>
    <col collapsed="false" customWidth="true" hidden="false" outlineLevel="0" max="70" min="69" style="1" width="9"/>
    <col collapsed="false" customWidth="true" hidden="false" outlineLevel="0" max="71" min="71" style="1" width="24.1"/>
    <col collapsed="false" customWidth="true" hidden="false" outlineLevel="0" max="72" min="72" style="2" width="4.5"/>
    <col collapsed="false" customWidth="true" hidden="false" outlineLevel="0" max="73" min="73" style="1" width="5.5"/>
    <col collapsed="false" customWidth="true" hidden="false" outlineLevel="0" max="75" min="74" style="1" width="9"/>
    <col collapsed="false" customWidth="true" hidden="false" outlineLevel="0" max="76" min="76" style="1" width="24.1"/>
    <col collapsed="false" customWidth="true" hidden="false" outlineLevel="0" max="77" min="77" style="2" width="4.5"/>
    <col collapsed="false" customWidth="true" hidden="false" outlineLevel="0" max="78" min="78" style="1" width="5.5"/>
    <col collapsed="false" customWidth="true" hidden="false" outlineLevel="0" max="80" min="79" style="1" width="9"/>
    <col collapsed="false" customWidth="true" hidden="false" outlineLevel="0" max="81" min="81" style="1" width="24.1"/>
    <col collapsed="false" customWidth="true" hidden="false" outlineLevel="0" max="82" min="82" style="2" width="4.5"/>
    <col collapsed="false" customWidth="true" hidden="false" outlineLevel="0" max="83" min="83" style="5" width="3.6"/>
    <col collapsed="false" customWidth="true" hidden="false" outlineLevel="0" max="84" min="84" style="1" width="5.5"/>
    <col collapsed="false" customWidth="true" hidden="false" outlineLevel="0" max="86" min="85" style="1" width="9"/>
    <col collapsed="false" customWidth="true" hidden="false" outlineLevel="0" max="87" min="87" style="1" width="24.1"/>
    <col collapsed="false" customWidth="true" hidden="false" outlineLevel="0" max="88" min="88" style="2" width="4.5"/>
    <col collapsed="false" customWidth="true" hidden="false" outlineLevel="0" max="89" min="89" style="1" width="5.5"/>
    <col collapsed="false" customWidth="true" hidden="false" outlineLevel="0" max="91" min="90" style="1" width="9"/>
    <col collapsed="false" customWidth="true" hidden="false" outlineLevel="0" max="92" min="92" style="1" width="24.2"/>
    <col collapsed="false" customWidth="true" hidden="false" outlineLevel="0" max="93" min="93" style="2" width="3.6"/>
    <col collapsed="false" customWidth="true" hidden="false" outlineLevel="0" max="94" min="94" style="1" width="5.5"/>
    <col collapsed="false" customWidth="true" hidden="false" outlineLevel="0" max="96" min="95" style="1" width="9"/>
    <col collapsed="false" customWidth="true" hidden="false" outlineLevel="0" max="97" min="97" style="1" width="24.1"/>
    <col collapsed="false" customWidth="true" hidden="false" outlineLevel="0" max="98" min="98" style="6" width="3.6"/>
    <col collapsed="false" customWidth="true" hidden="false" outlineLevel="0" max="99" min="99" style="1" width="5.5"/>
    <col collapsed="false" customWidth="true" hidden="false" outlineLevel="0" max="101" min="100" style="1" width="9"/>
    <col collapsed="false" customWidth="true" hidden="false" outlineLevel="0" max="102" min="102" style="1" width="24.1"/>
    <col collapsed="false" customWidth="true" hidden="false" outlineLevel="0" max="103" min="103" style="2" width="4.5"/>
    <col collapsed="false" customWidth="true" hidden="false" outlineLevel="0" max="104" min="104" style="1" width="5.5"/>
    <col collapsed="false" customWidth="true" hidden="false" outlineLevel="0" max="106" min="105" style="1" width="9"/>
    <col collapsed="false" customWidth="true" hidden="false" outlineLevel="0" max="107" min="107" style="1" width="24.2"/>
    <col collapsed="false" customWidth="true" hidden="false" outlineLevel="0" max="108" min="108" style="2" width="3.6"/>
    <col collapsed="false" customWidth="true" hidden="false" outlineLevel="0" max="109" min="109" style="1" width="5.5"/>
    <col collapsed="false" customWidth="true" hidden="false" outlineLevel="0" max="111" min="110" style="1" width="9"/>
    <col collapsed="false" customWidth="true" hidden="false" outlineLevel="0" max="112" min="112" style="1" width="24.2"/>
    <col collapsed="false" customWidth="true" hidden="false" outlineLevel="0" max="113" min="113" style="2" width="3.6"/>
    <col collapsed="false" customWidth="false" hidden="false" outlineLevel="0" max="16384" min="114" style="1" width="5.6"/>
  </cols>
  <sheetData>
    <row r="1" customFormat="false" ht="22.05" hidden="false" customHeight="false" outlineLevel="0" collapsed="false">
      <c r="A1" s="7" t="n">
        <v>2025</v>
      </c>
    </row>
    <row r="2" s="8" customFormat="true" ht="45.75" hidden="false" customHeight="true" outlineLevel="0" collapsed="false">
      <c r="A2" s="8" t="str">
        <f aca="false">$A$1&amp;"厳冬、初冬入渠、減便"</f>
        <v>2025厳冬、初冬入渠、減便</v>
      </c>
      <c r="B2" s="9" t="s">
        <v>52</v>
      </c>
      <c r="C2" s="9"/>
      <c r="D2" s="9"/>
      <c r="E2" s="10" t="str">
        <f aca="false">IF(B2=G2, "=", "")</f>
        <v>=</v>
      </c>
      <c r="F2" s="8" t="str">
        <f aca="false">$A$1&amp;"厳冬、初冬入渠、減便"</f>
        <v>2025厳冬、初冬入渠、減便</v>
      </c>
      <c r="G2" s="9" t="s">
        <v>52</v>
      </c>
      <c r="H2" s="9"/>
      <c r="I2" s="9"/>
      <c r="J2" s="10" t="str">
        <f aca="false">IF(G2=L2, "=", "")</f>
        <v/>
      </c>
      <c r="K2" s="8" t="str">
        <f aca="false">$A$1&amp;"通常"</f>
        <v>2025通常</v>
      </c>
      <c r="L2" s="9" t="s">
        <v>53</v>
      </c>
      <c r="M2" s="9"/>
      <c r="N2" s="9"/>
      <c r="O2" s="10" t="str">
        <f aca="false">IF(L2=Q2, "=", "")</f>
        <v>=</v>
      </c>
      <c r="P2" s="8" t="str">
        <f aca="false">$A$1&amp;"通常"</f>
        <v>2025通常</v>
      </c>
      <c r="Q2" s="9" t="s">
        <v>53</v>
      </c>
      <c r="R2" s="9"/>
      <c r="S2" s="9"/>
      <c r="T2" s="10" t="str">
        <f aca="false">IF(Q2=V2, "=", "")</f>
        <v>=</v>
      </c>
      <c r="U2" s="8" t="str">
        <f aca="false">$A$1&amp;"通常"</f>
        <v>2025通常</v>
      </c>
      <c r="V2" s="9" t="s">
        <v>53</v>
      </c>
      <c r="W2" s="9"/>
      <c r="X2" s="9"/>
      <c r="Y2" s="10" t="str">
        <f aca="false">IF(V2=AA2, "=", "")</f>
        <v/>
      </c>
      <c r="Z2" s="8" t="str">
        <f aca="false">$A$1&amp;"盆"</f>
        <v>2025盆</v>
      </c>
      <c r="AA2" s="9" t="s">
        <v>54</v>
      </c>
      <c r="AB2" s="9"/>
      <c r="AC2" s="9"/>
      <c r="AD2" s="10" t="str">
        <f aca="false">IF(AA2=AF2, "=", "")</f>
        <v>=</v>
      </c>
      <c r="AE2" s="8" t="str">
        <f aca="false">$A$1&amp;"盆"</f>
        <v>2025盆</v>
      </c>
      <c r="AF2" s="9" t="s">
        <v>54</v>
      </c>
      <c r="AG2" s="9"/>
      <c r="AH2" s="9"/>
      <c r="AI2" s="10" t="str">
        <f aca="false">IF(AF2=AK2, "=", "")</f>
        <v>=</v>
      </c>
      <c r="AJ2" s="8" t="str">
        <f aca="false">$A$1&amp;"盆"</f>
        <v>2025盆</v>
      </c>
      <c r="AK2" s="9" t="s">
        <v>54</v>
      </c>
      <c r="AL2" s="9"/>
      <c r="AM2" s="9"/>
      <c r="AN2" s="10"/>
      <c r="AO2" s="11"/>
      <c r="AP2" s="8" t="str">
        <f aca="false">$A$1&amp;"年度末"</f>
        <v>2025年度末</v>
      </c>
      <c r="AQ2" s="9" t="s">
        <v>55</v>
      </c>
      <c r="AR2" s="9"/>
      <c r="AS2" s="9"/>
      <c r="AT2" s="10" t="str">
        <f aca="false">IF(AQ2=AV2, "=", "")</f>
        <v/>
      </c>
      <c r="AU2" s="8" t="str">
        <f aca="false">$A$1&amp;"春初夏"</f>
        <v>2025春初夏</v>
      </c>
      <c r="AV2" s="9" t="s">
        <v>56</v>
      </c>
      <c r="AW2" s="9"/>
      <c r="AX2" s="9"/>
      <c r="AY2" s="10" t="str">
        <f aca="false">IF(AV2=BA2, "=", "")</f>
        <v/>
      </c>
      <c r="AZ2" s="8" t="str">
        <f aca="false">$A$1&amp;"GW夏休み"</f>
        <v>2025GW夏休み</v>
      </c>
      <c r="BA2" s="9" t="s">
        <v>57</v>
      </c>
      <c r="BB2" s="9"/>
      <c r="BC2" s="9"/>
      <c r="BD2" s="10" t="str">
        <f aca="false">IF(BA2=BF2, "=", "")</f>
        <v/>
      </c>
      <c r="BE2" s="8" t="str">
        <f aca="false">$A$1&amp;"秋"</f>
        <v>2025秋</v>
      </c>
      <c r="BF2" s="9" t="s">
        <v>58</v>
      </c>
      <c r="BG2" s="9"/>
      <c r="BH2" s="9"/>
      <c r="BI2" s="10" t="str">
        <f aca="false">IF(BF2=BK2, "=", "")</f>
        <v/>
      </c>
      <c r="BJ2" s="8" t="str">
        <f aca="false">$A$1&amp;"初冬"</f>
        <v>2025初冬</v>
      </c>
      <c r="BK2" s="9" t="s">
        <v>59</v>
      </c>
      <c r="BL2" s="9"/>
      <c r="BM2" s="9"/>
      <c r="BN2" s="10"/>
      <c r="BO2" s="12"/>
      <c r="BP2" s="8" t="str">
        <f aca="false">$A$1&amp;"年末年始"</f>
        <v>2025年末年始</v>
      </c>
      <c r="BQ2" s="9" t="s">
        <v>60</v>
      </c>
      <c r="BR2" s="9"/>
      <c r="BS2" s="9"/>
      <c r="BT2" s="10" t="str">
        <f aca="false">IF(BQ2=BV2, "=", "")</f>
        <v/>
      </c>
      <c r="BU2" s="8" t="str">
        <f aca="false">$A$1&amp;"元日"</f>
        <v>2025元日</v>
      </c>
      <c r="BV2" s="9" t="s">
        <v>61</v>
      </c>
      <c r="BW2" s="9"/>
      <c r="BX2" s="9"/>
      <c r="BY2" s="10" t="str">
        <f aca="false">IF(BV2=CA2, "=", "")</f>
        <v/>
      </c>
      <c r="BZ2" s="8" t="str">
        <f aca="false">$A$1&amp;"通常"</f>
        <v>2025通常</v>
      </c>
      <c r="CA2" s="9" t="s">
        <v>62</v>
      </c>
      <c r="CB2" s="9"/>
      <c r="CC2" s="9"/>
      <c r="CD2" s="10"/>
      <c r="CE2" s="13"/>
      <c r="CF2" s="8" t="str">
        <f aca="false">$A$1&amp;"年末年始"</f>
        <v>2025年末年始</v>
      </c>
      <c r="CG2" s="9" t="s">
        <v>63</v>
      </c>
      <c r="CH2" s="9"/>
      <c r="CI2" s="9"/>
      <c r="CJ2" s="10" t="str">
        <f aca="false">IF(CG2=CL2, "=", "")</f>
        <v/>
      </c>
      <c r="CK2" s="8" t="str">
        <f aca="false">$A$1&amp;"通常"</f>
        <v>2025通常</v>
      </c>
      <c r="CL2" s="9" t="s">
        <v>64</v>
      </c>
      <c r="CM2" s="9"/>
      <c r="CN2" s="9"/>
      <c r="CO2" s="10" t="str">
        <f aca="false">IF(CL2=CQ2, "=", "")</f>
        <v/>
      </c>
      <c r="CP2" s="8" t="str">
        <f aca="false">$A$1&amp;"一部変更"</f>
        <v>2025一部変更</v>
      </c>
      <c r="CQ2" s="9" t="s">
        <v>65</v>
      </c>
      <c r="CR2" s="9"/>
      <c r="CS2" s="9"/>
      <c r="CT2" s="10" t="str">
        <f aca="false">IF(CQ2=CV2, "=", "")</f>
        <v/>
      </c>
      <c r="CU2" s="8" t="str">
        <f aca="false">$A$1&amp;"年末年始"</f>
        <v>2025年末年始</v>
      </c>
      <c r="CV2" s="9" t="s">
        <v>63</v>
      </c>
      <c r="CW2" s="9"/>
      <c r="CX2" s="9"/>
      <c r="CY2" s="10" t="str">
        <f aca="false">IF(CV2=DA2, "=", "")</f>
        <v/>
      </c>
      <c r="CZ2" s="8" t="str">
        <f aca="false">$A$1&amp;"通常"</f>
        <v>2025通常</v>
      </c>
      <c r="DA2" s="9" t="s">
        <v>66</v>
      </c>
      <c r="DB2" s="9"/>
      <c r="DC2" s="9"/>
      <c r="DD2" s="10" t="str">
        <f aca="false">IF(DA2=DF2, "=", "")</f>
        <v/>
      </c>
      <c r="DE2" s="8" t="str">
        <f aca="false">$A$1&amp;"一部変更"</f>
        <v>2025一部変更</v>
      </c>
      <c r="DF2" s="9" t="s">
        <v>55</v>
      </c>
      <c r="DG2" s="9"/>
      <c r="DH2" s="9"/>
      <c r="DI2" s="10"/>
    </row>
    <row r="3" s="8" customFormat="true" ht="18.75" hidden="false" customHeight="true" outlineLevel="0" collapsed="false">
      <c r="A3" s="14"/>
      <c r="B3" s="14"/>
      <c r="C3" s="14" t="str">
        <f aca="false">IF(A3="", "", ", ""rinji"":"""&amp;A3&amp;"""")</f>
        <v/>
      </c>
      <c r="D3" s="14"/>
      <c r="E3" s="10"/>
      <c r="F3" s="14"/>
      <c r="G3" s="14"/>
      <c r="H3" s="14" t="str">
        <f aca="false">IF(F3="", "", ", ""rinji"":"""&amp;F3&amp;"""")</f>
        <v/>
      </c>
      <c r="I3" s="14"/>
      <c r="J3" s="10"/>
      <c r="K3" s="14"/>
      <c r="L3" s="14"/>
      <c r="M3" s="14" t="str">
        <f aca="false">IF(K3="", "", ", ""rinji"":"""&amp;K3&amp;"""")</f>
        <v/>
      </c>
      <c r="N3" s="14"/>
      <c r="O3" s="10"/>
      <c r="P3" s="14"/>
      <c r="Q3" s="14"/>
      <c r="R3" s="14" t="str">
        <f aca="false">IF(P3="", "", ", ""rinji"":"""&amp;P3&amp;"""")</f>
        <v/>
      </c>
      <c r="S3" s="14"/>
      <c r="T3" s="10"/>
      <c r="U3" s="14"/>
      <c r="V3" s="14"/>
      <c r="W3" s="14" t="str">
        <f aca="false">IF(U3="", "", ", ""rinji"":"""&amp;U3&amp;"""")</f>
        <v/>
      </c>
      <c r="X3" s="14"/>
      <c r="Y3" s="10"/>
      <c r="Z3" s="14"/>
      <c r="AA3" s="14"/>
      <c r="AB3" s="14" t="str">
        <f aca="false">IF(Z3="", "", ", ""rinji"":"""&amp;Z3&amp;"""")</f>
        <v/>
      </c>
      <c r="AC3" s="14"/>
      <c r="AD3" s="10"/>
      <c r="AE3" s="14"/>
      <c r="AF3" s="14"/>
      <c r="AG3" s="14" t="str">
        <f aca="false">IF(AE3="", "", ", ""rinji"":"""&amp;AE3&amp;"""")</f>
        <v/>
      </c>
      <c r="AH3" s="14"/>
      <c r="AI3" s="10"/>
      <c r="AJ3" s="14"/>
      <c r="AK3" s="14"/>
      <c r="AL3" s="14" t="str">
        <f aca="false">IF(AJ3="", "", ", ""rinji"":"""&amp;AJ3&amp;"""")</f>
        <v/>
      </c>
      <c r="AM3" s="14"/>
      <c r="AN3" s="10"/>
      <c r="AO3" s="11"/>
      <c r="AP3" s="14"/>
      <c r="AQ3" s="14"/>
      <c r="AR3" s="14" t="str">
        <f aca="false">IF(AP3="", "", ", ""rinji"":"""&amp;AP3&amp;"""")</f>
        <v/>
      </c>
      <c r="AS3" s="14"/>
      <c r="AT3" s="10"/>
      <c r="AU3" s="14"/>
      <c r="AV3" s="14"/>
      <c r="AW3" s="14" t="str">
        <f aca="false">IF(AU3="", "", ", ""rinji"":"""&amp;AU3&amp;"""")</f>
        <v/>
      </c>
      <c r="AX3" s="14"/>
      <c r="AY3" s="10"/>
      <c r="AZ3" s="14"/>
      <c r="BA3" s="14"/>
      <c r="BB3" s="14" t="str">
        <f aca="false">IF(AZ3="", "", ", ""rinji"":"""&amp;AZ3&amp;"""")</f>
        <v/>
      </c>
      <c r="BC3" s="14"/>
      <c r="BD3" s="10"/>
      <c r="BE3" s="14"/>
      <c r="BF3" s="14"/>
      <c r="BG3" s="14" t="str">
        <f aca="false">IF(BE3="", "", ", ""rinji"":"""&amp;BE3&amp;"""")</f>
        <v/>
      </c>
      <c r="BH3" s="14"/>
      <c r="BI3" s="10"/>
      <c r="BJ3" s="14"/>
      <c r="BK3" s="14"/>
      <c r="BL3" s="14" t="str">
        <f aca="false">IF(BJ3="", "", ", ""rinji"":"""&amp;BJ3&amp;"""")</f>
        <v/>
      </c>
      <c r="BM3" s="14"/>
      <c r="BN3" s="10"/>
      <c r="BO3" s="12"/>
      <c r="BP3" s="14"/>
      <c r="BQ3" s="14"/>
      <c r="BR3" s="14" t="str">
        <f aca="false">IF(BP3="", "", ", ""rinji"":"""&amp;BP3&amp;"""")</f>
        <v/>
      </c>
      <c r="BS3" s="14"/>
      <c r="BT3" s="10"/>
      <c r="BU3" s="14"/>
      <c r="BV3" s="14"/>
      <c r="BW3" s="14" t="str">
        <f aca="false">IF(BU3="", "", ", ""rinji"":"""&amp;BU3&amp;"""")</f>
        <v/>
      </c>
      <c r="BX3" s="14"/>
      <c r="BY3" s="10"/>
      <c r="BZ3" s="14"/>
      <c r="CA3" s="14"/>
      <c r="CB3" s="14" t="str">
        <f aca="false">IF(BZ3="", "", ", ""rinji"":"""&amp;BZ3&amp;"""")</f>
        <v/>
      </c>
      <c r="CC3" s="14"/>
      <c r="CD3" s="10"/>
      <c r="CE3" s="13"/>
      <c r="CF3" s="14"/>
      <c r="CG3" s="14"/>
      <c r="CH3" s="14" t="str">
        <f aca="false">IF(CF3="", "", ", ""rinji"":"""&amp;CF3&amp;"""")</f>
        <v/>
      </c>
      <c r="CI3" s="14"/>
      <c r="CJ3" s="10"/>
      <c r="CK3" s="14"/>
      <c r="CL3" s="14"/>
      <c r="CM3" s="14" t="str">
        <f aca="false">IF(CK3="", "", ", ""rinji"":"""&amp;CK3&amp;"""")</f>
        <v/>
      </c>
      <c r="CN3" s="14"/>
      <c r="CO3" s="10"/>
      <c r="CP3" s="14"/>
      <c r="CQ3" s="14"/>
      <c r="CR3" s="14" t="str">
        <f aca="false">IF(CP3="", "", ", ""rinji"":"""&amp;CP3&amp;"""")</f>
        <v/>
      </c>
      <c r="CS3" s="14"/>
      <c r="CT3" s="10"/>
      <c r="CU3" s="14" t="s">
        <v>18</v>
      </c>
      <c r="CV3" s="14"/>
      <c r="CW3" s="14" t="str">
        <f aca="false">IF(CU3="", "", ", ""rinji"":"""&amp;CU3&amp;"""")</f>
        <v>, "rinji":"来居欠航時"</v>
      </c>
      <c r="CX3" s="14"/>
      <c r="CY3" s="10"/>
      <c r="CZ3" s="14" t="s">
        <v>18</v>
      </c>
      <c r="DA3" s="14"/>
      <c r="DB3" s="14" t="str">
        <f aca="false">IF(CZ3="", "", ", ""rinji"":"""&amp;CZ3&amp;"""")</f>
        <v>, "rinji":"来居欠航時"</v>
      </c>
      <c r="DC3" s="14"/>
      <c r="DD3" s="10"/>
      <c r="DE3" s="14" t="s">
        <v>18</v>
      </c>
      <c r="DF3" s="14"/>
      <c r="DG3" s="14" t="str">
        <f aca="false">IF(DE3="", "", ", ""rinji"":"""&amp;DE3&amp;"""")</f>
        <v>, "rinji":"来居欠航時"</v>
      </c>
      <c r="DH3" s="14"/>
      <c r="DI3" s="10"/>
    </row>
    <row r="4" customFormat="false" ht="96.75" hidden="false" customHeight="true" outlineLevel="0" collapsed="false">
      <c r="A4" s="8" t="s">
        <v>19</v>
      </c>
      <c r="B4" s="1" t="s">
        <v>20</v>
      </c>
      <c r="C4" s="1" t="s">
        <v>21</v>
      </c>
      <c r="D4" s="15" t="str">
        <f aca="false">"{""ship"":""" &amp; A4 &amp; """, " &amp; B2 &amp; C3 &amp; ", ""info"":""" &amp; A2 &amp; """, ""data"":["</f>
        <v>{"ship":"フェリーおき", "spans":["2025/1/1-2025/3/9", "2025/6/17-2025/7/18", "2025/9/1-2025/9/30", "2025/11/4-2025/12/20"], "days":[], "info":"2025厳冬、初冬入渠、減便", "data":[</v>
      </c>
      <c r="F4" s="8" t="s">
        <v>22</v>
      </c>
      <c r="G4" s="1" t="s">
        <v>20</v>
      </c>
      <c r="H4" s="1" t="s">
        <v>21</v>
      </c>
      <c r="I4" s="15" t="str">
        <f aca="false">"{""ship"":""" &amp; F4 &amp; """, " &amp; G2 &amp; H3 &amp; ", ""info"":""" &amp; F2 &amp; """, ""data"":["</f>
        <v>{"ship":"フェリーしらしま", "spans":["2025/1/1-2025/3/9", "2025/6/17-2025/7/18", "2025/9/1-2025/9/30", "2025/11/4-2025/12/20"], "days":[], "info":"2025厳冬、初冬入渠、減便", "data":[</v>
      </c>
      <c r="K4" s="8" t="s">
        <v>19</v>
      </c>
      <c r="L4" s="1" t="s">
        <v>20</v>
      </c>
      <c r="M4" s="1" t="s">
        <v>21</v>
      </c>
      <c r="N4" s="8" t="str">
        <f aca="false">"{""ship"":""" &amp; K4 &amp; """, " &amp; L2 &amp; M3 &amp; ", ""info"":""" &amp; K2 &amp; """, ""data"":["</f>
        <v>{"ship":"フェリーおき", "spans":["2025/3/10-2025/6/16", "2025/7/19-2025/8/8", "2025/8/18-2025/8/31", "2025/10/1-2025/11/3", "2025/12/21-2025/12/31"], "days":[], "info":"2025通常", "data":[</v>
      </c>
      <c r="P4" s="8" t="s">
        <v>23</v>
      </c>
      <c r="Q4" s="1" t="s">
        <v>20</v>
      </c>
      <c r="R4" s="1" t="s">
        <v>21</v>
      </c>
      <c r="S4" s="8" t="str">
        <f aca="false">"{""ship"":""" &amp; P4 &amp; """, " &amp; Q2 &amp; R3 &amp; ", ""info"":""" &amp; P2 &amp; """, ""data"":["</f>
        <v>{"ship":"フェリーくにが", "spans":["2025/3/10-2025/6/16", "2025/7/19-2025/8/8", "2025/8/18-2025/8/31", "2025/10/1-2025/11/3", "2025/12/21-2025/12/31"], "days":[], "info":"2025通常", "data":[</v>
      </c>
      <c r="U4" s="8" t="s">
        <v>22</v>
      </c>
      <c r="V4" s="1" t="s">
        <v>20</v>
      </c>
      <c r="W4" s="1" t="s">
        <v>21</v>
      </c>
      <c r="X4" s="8" t="str">
        <f aca="false">"{""ship"":""" &amp; U4 &amp; """, " &amp; V2 &amp; W3 &amp; ", ""info"":""" &amp; U2 &amp; """, ""data"":["</f>
        <v>{"ship":"フェリーしらしま", "spans":["2025/3/10-2025/6/16", "2025/7/19-2025/8/8", "2025/8/18-2025/8/31", "2025/10/1-2025/11/3", "2025/12/21-2025/12/31"], "days":[], "info":"2025通常", "data":[</v>
      </c>
      <c r="Z4" s="8" t="s">
        <v>19</v>
      </c>
      <c r="AA4" s="1" t="s">
        <v>20</v>
      </c>
      <c r="AB4" s="1" t="s">
        <v>21</v>
      </c>
      <c r="AC4" s="8" t="str">
        <f aca="false">"{""ship"":""" &amp; Z4 &amp; """, " &amp; AA2 &amp; AB3 &amp; ", ""info"":""" &amp; Z2 &amp; """, ""data"":["</f>
        <v>{"ship":"フェリーおき", "spans":["2025/8/9-2025/8/17"], "days":[], "info":"2025盆", "data":[</v>
      </c>
      <c r="AE4" s="8" t="s">
        <v>23</v>
      </c>
      <c r="AF4" s="1" t="s">
        <v>20</v>
      </c>
      <c r="AG4" s="1" t="s">
        <v>21</v>
      </c>
      <c r="AH4" s="8" t="str">
        <f aca="false">"{""ship"":""" &amp; AE4 &amp; """, " &amp; AF2 &amp; AG3 &amp; ", ""info"":""" &amp; AE2 &amp; """, ""data"":["</f>
        <v>{"ship":"フェリーくにが", "spans":["2025/8/9-2025/8/17"], "days":[], "info":"2025盆", "data":[</v>
      </c>
      <c r="AJ4" s="8" t="s">
        <v>22</v>
      </c>
      <c r="AK4" s="1" t="s">
        <v>20</v>
      </c>
      <c r="AL4" s="1" t="s">
        <v>21</v>
      </c>
      <c r="AM4" s="8" t="str">
        <f aca="false">"{""ship"":""" &amp; AJ4 &amp; """, " &amp; AK2 &amp; AL3 &amp; ", ""info"":""" &amp; AJ2 &amp; """, ""data"":["</f>
        <v>{"ship":"フェリーしらしま", "spans":["2025/8/9-2025/8/17"], "days":[], "info":"2025盆", "data":[</v>
      </c>
      <c r="AP4" s="8" t="s">
        <v>24</v>
      </c>
      <c r="AQ4" s="1" t="s">
        <v>20</v>
      </c>
      <c r="AR4" s="1" t="s">
        <v>21</v>
      </c>
      <c r="AS4" s="8" t="str">
        <f aca="false">"{""ship"":""" &amp; AP4 &amp; """, " &amp; AQ2 &amp; AR3 &amp; ", ""info"":""" &amp; AP2 &amp; """, ""data"":["</f>
        <v>{"ship":"レインボージェット", "spans":["2025/3/1-2025/3/31"], "days":[], "info":"2025年度末", "data":[</v>
      </c>
      <c r="AU4" s="8" t="s">
        <v>24</v>
      </c>
      <c r="AV4" s="1" t="s">
        <v>20</v>
      </c>
      <c r="AW4" s="1" t="s">
        <v>21</v>
      </c>
      <c r="AX4" s="8" t="str">
        <f aca="false">"{""ship"":""" &amp; AU4 &amp; """, " &amp; AV2 &amp; AW3 &amp; ", ""info"":""" &amp; AU2 &amp; """, ""data"":["</f>
        <v>{"ship":"レインボージェット", "spans":["2025/4/1-2025/4/25", "2025/5/7-2025/5/25", "2025/5/31-2025/8/8"], "days":[], "info":"2025春初夏", "data":[</v>
      </c>
      <c r="AZ4" s="8" t="s">
        <v>24</v>
      </c>
      <c r="BA4" s="1" t="s">
        <v>20</v>
      </c>
      <c r="BB4" s="1" t="s">
        <v>21</v>
      </c>
      <c r="BC4" s="8" t="str">
        <f aca="false">"{""ship"":""" &amp; AZ4 &amp; """, " &amp; BA2 &amp; BB3 &amp; ", ""info"":""" &amp; AZ2 &amp; """, ""data"":["</f>
        <v>{"ship":"レインボージェット", "spans":["2025/4/26-2025/5/6", "2025/8/9-2025/8/17"], "days":[], "info":"2025GW夏休み", "data":[</v>
      </c>
      <c r="BE4" s="8" t="s">
        <v>24</v>
      </c>
      <c r="BF4" s="1" t="s">
        <v>20</v>
      </c>
      <c r="BG4" s="1" t="s">
        <v>21</v>
      </c>
      <c r="BH4" s="8" t="str">
        <f aca="false">"{""ship"":""" &amp; BE4 &amp; """, " &amp; BF2 &amp; BG3 &amp; ", ""info"":""" &amp; BE2 &amp; """, ""data"":["</f>
        <v>{"ship":"レインボージェット", "spans":["2025/8/18-2025/10/31"], "days":[], "info":"2025秋", "data":[</v>
      </c>
      <c r="BJ4" s="8" t="s">
        <v>24</v>
      </c>
      <c r="BK4" s="1" t="s">
        <v>20</v>
      </c>
      <c r="BL4" s="1" t="s">
        <v>21</v>
      </c>
      <c r="BM4" s="8" t="str">
        <f aca="false">"{""ship"":""" &amp; BJ4 &amp; """, " &amp; BK2 &amp; BL3 &amp; ", ""info"":""" &amp; BJ2 &amp; """, ""data"":["</f>
        <v>{"ship":"レインボージェット", "spans":["2025/11/1-2025/11/30"], "days":[], "info":"2025初冬", "data":[</v>
      </c>
      <c r="BP4" s="8" t="s">
        <v>25</v>
      </c>
      <c r="BQ4" s="1" t="s">
        <v>20</v>
      </c>
      <c r="BR4" s="1" t="s">
        <v>21</v>
      </c>
      <c r="BS4" s="8" t="str">
        <f aca="false">"{""ship"":""" &amp; BP4 &amp; """, " &amp; BQ2 &amp; BR3 &amp; ", ""info"":""" &amp; BP2 &amp; """, ""data"":["</f>
        <v>{"ship":"フェリーどうぜん", "spans":["2025/1/2-2025/1/3"], "days":["2024/12/31"], "info":"2025年末年始", "data":[</v>
      </c>
      <c r="BU4" s="8" t="s">
        <v>25</v>
      </c>
      <c r="BV4" s="1" t="s">
        <v>20</v>
      </c>
      <c r="BW4" s="1" t="s">
        <v>21</v>
      </c>
      <c r="BX4" s="8" t="str">
        <f aca="false">"{""ship"":""" &amp; BU4 &amp; """, " &amp; BV2 &amp; BW3 &amp; ", ""info"":""" &amp; BU2 &amp; """, ""data"":["</f>
        <v>{"ship":"フェリーどうぜん", "spans":[], "days":["2025/1/1"], "info":"2025元日", "data":[</v>
      </c>
      <c r="BZ4" s="8" t="s">
        <v>25</v>
      </c>
      <c r="CA4" s="1" t="s">
        <v>20</v>
      </c>
      <c r="CB4" s="1" t="s">
        <v>21</v>
      </c>
      <c r="CC4" s="8" t="str">
        <f aca="false">"{""ship"":""" &amp; BZ4 &amp; """, " &amp; CA2 &amp; CB3 &amp; ", ""info"":""" &amp; BZ2 &amp; """, ""data"":["</f>
        <v>{"ship":"フェリーどうぜん", "spans":["2025/1/4-2025/12/30"], "days":[], "info":"2025通常", "data":[</v>
      </c>
      <c r="CF4" s="8" t="s">
        <v>26</v>
      </c>
      <c r="CG4" s="1" t="s">
        <v>20</v>
      </c>
      <c r="CH4" s="1" t="s">
        <v>21</v>
      </c>
      <c r="CI4" s="8" t="str">
        <f aca="false">"{""ship"":""" &amp; CF4 &amp; """, " &amp; CG2 &amp; CH3 &amp; ", ""info"":""" &amp; CF2 &amp; """, ""data"":["</f>
        <v>{"ship":"いそかぜ", "spans":["2024/12/31-2025/1/3"], "days":[], "info":"2025年末年始", "data":[</v>
      </c>
      <c r="CK4" s="8" t="s">
        <v>26</v>
      </c>
      <c r="CL4" s="1" t="s">
        <v>20</v>
      </c>
      <c r="CM4" s="1" t="s">
        <v>21</v>
      </c>
      <c r="CN4" s="8" t="str">
        <f aca="false">"{""ship"":""" &amp; CK4 &amp; """, " &amp; CL2 &amp; CM3 &amp; ", ""info"":""" &amp; CK2 &amp; """, ""data"":["</f>
        <v>{"ship":"いそかぜ", "spans":["2025/1/4-2025/2/28", "2025/4/1-2025/8/17", "2025/11/1-2025/12/30"], "days":[], "info":"2025通常", "data":[</v>
      </c>
      <c r="CP4" s="8" t="s">
        <v>26</v>
      </c>
      <c r="CQ4" s="1" t="s">
        <v>20</v>
      </c>
      <c r="CR4" s="1" t="s">
        <v>21</v>
      </c>
      <c r="CS4" s="8" t="str">
        <f aca="false">"{""ship"":""" &amp; CP4 &amp; """, " &amp; CQ2 &amp; CR3 &amp; ", ""info"":""" &amp; CP2 &amp; """, ""data"":["</f>
        <v>{"ship":"いそかぜ", "spans":["2025/3/1-2025/3/31", "2025/8/18-2025/10/31"], "days":[], "info":"2025一部変更", "data":[</v>
      </c>
      <c r="CU4" s="8" t="s">
        <v>26</v>
      </c>
      <c r="CV4" s="1" t="s">
        <v>20</v>
      </c>
      <c r="CW4" s="1" t="s">
        <v>21</v>
      </c>
      <c r="CX4" s="8" t="str">
        <f aca="false">"{""ship"":""" &amp; CU4 &amp; """, " &amp; CV2 &amp; CW3 &amp; ", ""info"":""" &amp; CU2 &amp; """, ""data"":["</f>
        <v>{"ship":"いそかぜ", "spans":["2024/12/31-2025/1/3"], "days":[], "rinji":"来居欠航時", "info":"2025年末年始", "data":[</v>
      </c>
      <c r="CZ4" s="8" t="s">
        <v>26</v>
      </c>
      <c r="DA4" s="1" t="s">
        <v>20</v>
      </c>
      <c r="DB4" s="1" t="s">
        <v>21</v>
      </c>
      <c r="DC4" s="8" t="str">
        <f aca="false">"{""ship"":""" &amp; CZ4 &amp; """, " &amp; DA2 &amp; DB3 &amp; ", ""info"":""" &amp; CZ2 &amp; """, ""data"":["</f>
        <v>{"ship":"いそかぜ", "spans":["2025/1/4-2025/2/28", "2025/4/1-2025/12/30"], "days":[], "rinji":"来居欠航時", "info":"2025通常", "data":[</v>
      </c>
      <c r="DE4" s="8" t="s">
        <v>26</v>
      </c>
      <c r="DF4" s="1" t="s">
        <v>20</v>
      </c>
      <c r="DG4" s="1" t="s">
        <v>21</v>
      </c>
      <c r="DH4" s="8" t="str">
        <f aca="false">"{""ship"":""" &amp; DE4 &amp; """, " &amp; DF2 &amp; DG3 &amp; ", ""info"":""" &amp; DE2 &amp; """, ""data"":["</f>
        <v>{"ship":"いそかぜ", "spans":["2025/3/1-2025/3/31"], "days":[], "rinji":"来居欠航時", "info":"2025一部変更", "data":[</v>
      </c>
    </row>
    <row r="5" customFormat="false" ht="18" hidden="false" customHeight="false" outlineLevel="0" collapsed="false">
      <c r="A5" s="16" t="s">
        <v>27</v>
      </c>
      <c r="B5" s="16"/>
      <c r="C5" s="17" t="n">
        <v>0.375</v>
      </c>
      <c r="D5" s="1" t="str">
        <f aca="false">"[""" &amp; A5 &amp; """, """ &amp; IF(B5="","",TEXT(B5,"h:mm")) &amp; """, """ &amp; IF(C5="","",TEXT(C5,"h:mm")) &amp; """],"</f>
        <v>["七類", "", "9:00"],</v>
      </c>
      <c r="E5" s="18" t="str">
        <f aca="false">IF(AND(LEN(B5)&lt;&gt;0,LEN(C5)&lt;&gt;0),((HOUR(C5)*60)+MINUTE(C5))-((HOUR(B5)*60)+MINUTE(B5)),"")</f>
        <v/>
      </c>
      <c r="F5" s="16" t="s">
        <v>28</v>
      </c>
      <c r="G5" s="16"/>
      <c r="H5" s="17" t="n">
        <v>0.354166666666667</v>
      </c>
      <c r="I5" s="1" t="str">
        <f aca="false">"[""" &amp; F5 &amp; """, """ &amp; IF(G5="","",TEXT(G5,"h:mm")) &amp; """, """ &amp; IF(H5="","",TEXT(H5,"h:mm")) &amp; """],"</f>
        <v>["西郷", "", "8:30"],</v>
      </c>
      <c r="J5" s="18" t="str">
        <f aca="false">IF(AND(LEN(G5)&lt;&gt;0,LEN(H5)&lt;&gt;0),((HOUR(H5)*60)+MINUTE(H5))-((HOUR(G5)*60)+MINUTE(G5)),"")</f>
        <v/>
      </c>
      <c r="K5" s="16" t="s">
        <v>27</v>
      </c>
      <c r="L5" s="16"/>
      <c r="M5" s="17" t="n">
        <v>0.375</v>
      </c>
      <c r="N5" s="1" t="str">
        <f aca="false">"[""" &amp; K5 &amp; """, """ &amp; IF(L5="","",TEXT(L5,"h:mm")) &amp; """, """ &amp; IF(M5="","",TEXT(M5,"h:mm")) &amp; """],"</f>
        <v>["七類", "", "9:00"],</v>
      </c>
      <c r="O5" s="18" t="str">
        <f aca="false">IF(AND(LEN(L5)&lt;&gt;0,LEN(M5)&lt;&gt;0),((HOUR(M5)*60)+MINUTE(M5))-((HOUR(L5)*60)+MINUTE(L5)),"")</f>
        <v/>
      </c>
      <c r="P5" s="16" t="s">
        <v>27</v>
      </c>
      <c r="Q5" s="16"/>
      <c r="R5" s="17" t="n">
        <v>0.395833333333333</v>
      </c>
      <c r="S5" s="1" t="str">
        <f aca="false">"[""" &amp; P5 &amp; """, """ &amp; IF(Q5="","",TEXT(Q5,"h:mm")) &amp; """, """ &amp; IF(R5="","",TEXT(R5,"h:mm")) &amp; """],"</f>
        <v>["七類", "", "9:30"],</v>
      </c>
      <c r="T5" s="18" t="str">
        <f aca="false">IF(AND(LEN(Q5)&lt;&gt;0,LEN(R5)&lt;&gt;0),((HOUR(R5)*60)+MINUTE(R5))-((HOUR(Q5)*60)+MINUTE(Q5)),"")</f>
        <v/>
      </c>
      <c r="U5" s="16" t="s">
        <v>28</v>
      </c>
      <c r="V5" s="16"/>
      <c r="W5" s="17" t="n">
        <v>0.354166666666667</v>
      </c>
      <c r="X5" s="1" t="str">
        <f aca="false">"[""" &amp; U5 &amp; """, """ &amp; IF(V5="","",TEXT(V5,"h:mm")) &amp; """, """ &amp; IF(W5="","",TEXT(W5,"h:mm")) &amp; """],"</f>
        <v>["西郷", "", "8:30"],</v>
      </c>
      <c r="Y5" s="18" t="str">
        <f aca="false">IF(AND(LEN(V5)&lt;&gt;0,LEN(W5)&lt;&gt;0),((HOUR(W5)*60)+MINUTE(W5))-((HOUR(V5)*60)+MINUTE(V5)),"")</f>
        <v/>
      </c>
      <c r="Z5" s="16" t="s">
        <v>27</v>
      </c>
      <c r="AA5" s="16"/>
      <c r="AB5" s="17" t="n">
        <v>0.375</v>
      </c>
      <c r="AC5" s="1" t="str">
        <f aca="false">"[""" &amp; Z5 &amp; """, """ &amp; IF(AA5="","",TEXT(AA5,"h:mm")) &amp; """, """ &amp; IF(AB5="","",TEXT(AB5,"h:mm")) &amp; """],"</f>
        <v>["七類", "", "9:00"],</v>
      </c>
      <c r="AD5" s="18" t="str">
        <f aca="false">IF(AND(LEN(AA5)&lt;&gt;0,LEN(AB5)&lt;&gt;0),((HOUR(AB5)*60)+MINUTE(AB5))-((HOUR(AA5)*60)+MINUTE(AA5)),"")</f>
        <v/>
      </c>
      <c r="AE5" s="16" t="s">
        <v>27</v>
      </c>
      <c r="AF5" s="16"/>
      <c r="AG5" s="17" t="n">
        <v>0.395833333333333</v>
      </c>
      <c r="AH5" s="1" t="str">
        <f aca="false">"[""" &amp; AE5 &amp; """, """ &amp; IF(AF5="","",TEXT(AF5,"h:mm")) &amp; """, """ &amp; IF(AG5="","",TEXT(AG5,"h:mm")) &amp; """],"</f>
        <v>["七類", "", "9:30"],</v>
      </c>
      <c r="AI5" s="18" t="str">
        <f aca="false">IF(AND(LEN(AF5)&lt;&gt;0,LEN(AG5)&lt;&gt;0),((HOUR(AG5)*60)+MINUTE(AG5))-((HOUR(AF5)*60)+MINUTE(AF5)),"")</f>
        <v/>
      </c>
      <c r="AJ5" s="16" t="s">
        <v>28</v>
      </c>
      <c r="AK5" s="16"/>
      <c r="AL5" s="17" t="n">
        <v>0.354166666666667</v>
      </c>
      <c r="AM5" s="1" t="str">
        <f aca="false">"[""" &amp; AJ5 &amp; """, """ &amp; IF(AK5="","",TEXT(AK5,"h:mm")) &amp; """, """ &amp; IF(AL5="","",TEXT(AL5,"h:mm")) &amp; """],"</f>
        <v>["西郷", "", "8:30"],</v>
      </c>
      <c r="AN5" s="18" t="str">
        <f aca="false">IF(AND(LEN(AK5)&lt;&gt;0,LEN(AL5)&lt;&gt;0),((HOUR(AL5)*60)+MINUTE(AL5))-((HOUR(AK5)*60)+MINUTE(AK5)),"")</f>
        <v/>
      </c>
      <c r="AP5" s="16" t="s">
        <v>29</v>
      </c>
      <c r="AQ5" s="16"/>
      <c r="AR5" s="16" t="n">
        <v>0.333333333333333</v>
      </c>
      <c r="AS5" s="1" t="str">
        <f aca="false">"[""" &amp; AP5 &amp; """, """ &amp; IF(AQ5="","",TEXT(AQ5,"h:mm")) &amp; """, """ &amp; IF(AR5="","",TEXT(AR5,"h:mm")) &amp; """],"</f>
        <v>["別府", "", "8:00"],</v>
      </c>
      <c r="AT5" s="18" t="str">
        <f aca="false">IF(AND(LEN(AQ5)&lt;&gt;0,LEN(AR5)&lt;&gt;0),((HOUR(AR5)*60)+MINUTE(AR5))-((HOUR(AQ5)*60)+MINUTE(AQ5)),"")</f>
        <v/>
      </c>
      <c r="AU5" s="16" t="s">
        <v>29</v>
      </c>
      <c r="AV5" s="16"/>
      <c r="AW5" s="16" t="n">
        <v>0.333333333333333</v>
      </c>
      <c r="AX5" s="1" t="str">
        <f aca="false">"[""" &amp; AU5 &amp; """, """ &amp; IF(AV5="","",TEXT(AV5,"h:mm")) &amp; """, """ &amp; IF(AW5="","",TEXT(AW5,"h:mm")) &amp; """],"</f>
        <v>["別府", "", "8:00"],</v>
      </c>
      <c r="AY5" s="18" t="str">
        <f aca="false">IF(AND(LEN(AV5)&lt;&gt;0,LEN(AW5)&lt;&gt;0),((HOUR(AW5)*60)+MINUTE(AW5))-((HOUR(AV5)*60)+MINUTE(AV5)),"")</f>
        <v/>
      </c>
      <c r="AZ5" s="16" t="s">
        <v>29</v>
      </c>
      <c r="BA5" s="16"/>
      <c r="BB5" s="16" t="n">
        <v>0.319444444444445</v>
      </c>
      <c r="BC5" s="1" t="str">
        <f aca="false">"[""" &amp; AZ5 &amp; """, """ &amp; IF(BA5="","",TEXT(BA5,"h:mm")) &amp; """, """ &amp; IF(BB5="","",TEXT(BB5,"h:mm")) &amp; """],"</f>
        <v>["別府", "", "7:40"],</v>
      </c>
      <c r="BD5" s="18" t="str">
        <f aca="false">IF(AND(LEN(BA5)&lt;&gt;0,LEN(BB5)&lt;&gt;0),((HOUR(BB5)*60)+MINUTE(BB5))-((HOUR(BA5)*60)+MINUTE(BA5)),"")</f>
        <v/>
      </c>
      <c r="BE5" s="16" t="s">
        <v>29</v>
      </c>
      <c r="BF5" s="16"/>
      <c r="BG5" s="16" t="n">
        <v>0.333333333333333</v>
      </c>
      <c r="BH5" s="1" t="str">
        <f aca="false">"[""" &amp; BE5 &amp; """, """ &amp; IF(BF5="","",TEXT(BF5,"h:mm")) &amp; """, """ &amp; IF(BG5="","",TEXT(BG5,"h:mm")) &amp; """],"</f>
        <v>["別府", "", "8:00"],</v>
      </c>
      <c r="BI5" s="18" t="str">
        <f aca="false">IF(AND(LEN(BF5)&lt;&gt;0,LEN(BG5)&lt;&gt;0),((HOUR(BG5)*60)+MINUTE(BG5))-((HOUR(BF5)*60)+MINUTE(BF5)),"")</f>
        <v/>
      </c>
      <c r="BJ5" s="16" t="s">
        <v>29</v>
      </c>
      <c r="BK5" s="16"/>
      <c r="BL5" s="16" t="n">
        <v>0.333333333333333</v>
      </c>
      <c r="BM5" s="1" t="str">
        <f aca="false">"[""" &amp; BJ5 &amp; """, """ &amp; IF(BK5="","",TEXT(BK5,"h:mm")) &amp; """, """ &amp; IF(BL5="","",TEXT(BL5,"h:mm")) &amp; """],"</f>
        <v>["別府", "", "8:00"],</v>
      </c>
      <c r="BN5" s="18" t="str">
        <f aca="false">IF(AND(LEN(BK5)&lt;&gt;0,LEN(BL5)&lt;&gt;0),((HOUR(BL5)*60)+MINUTE(BL5))-((HOUR(BK5)*60)+MINUTE(BK5)),"")</f>
        <v/>
      </c>
      <c r="BP5" s="19" t="s">
        <v>30</v>
      </c>
      <c r="BR5" s="19" t="n">
        <v>0.385416666666667</v>
      </c>
      <c r="BS5" s="1" t="str">
        <f aca="false">"[""" &amp; BP5 &amp; """, """ &amp; IF(BQ5="","",TEXT(BQ5,"h:mm")) &amp; """, """ &amp; IF(BR5="","",TEXT(BR5,"h:mm")) &amp; """],"</f>
        <v>["菱浦", "", "9:15"],</v>
      </c>
      <c r="BT5" s="18" t="str">
        <f aca="false">IF(AND(LEN(BQ5)&lt;&gt;0,LEN(BR5)&lt;&gt;0),((HOUR(BR5)*60)+MINUTE(BR5))-((HOUR(BQ5)*60)+MINUTE(BQ5)),"")</f>
        <v/>
      </c>
      <c r="BU5" s="19" t="s">
        <v>30</v>
      </c>
      <c r="BW5" s="19" t="n">
        <v>0.645833333333333</v>
      </c>
      <c r="BX5" s="1" t="str">
        <f aca="false">"[""" &amp; BU5 &amp; """, """ &amp; IF(BV5="","",TEXT(BV5,"h:mm")) &amp; """, """ &amp; IF(BW5="","",TEXT(BW5,"h:mm")) &amp; """],"</f>
        <v>["菱浦", "", "15:30"],</v>
      </c>
      <c r="BY5" s="18" t="str">
        <f aca="false">IF(AND(LEN(BV5)&lt;&gt;0,LEN(BW5)&lt;&gt;0),((HOUR(BW5)*60)+MINUTE(BW5))-((HOUR(BV5)*60)+MINUTE(BV5)),"")</f>
        <v/>
      </c>
      <c r="BZ5" s="19" t="s">
        <v>30</v>
      </c>
      <c r="CA5" s="19"/>
      <c r="CB5" s="19" t="n">
        <v>0.3125</v>
      </c>
      <c r="CC5" s="1" t="str">
        <f aca="false">"[""" &amp; BZ5 &amp; """, """ &amp; IF(CA5="","",TEXT(CA5,"h:mm")) &amp; """, """ &amp; IF(CB5="","",TEXT(CB5,"h:mm")) &amp; """],"</f>
        <v>["菱浦", "", "7:30"],</v>
      </c>
      <c r="CD5" s="18" t="str">
        <f aca="false">IF(AND(LEN(CA5)&lt;&gt;0,LEN(CB5)&lt;&gt;0),((HOUR(CB5)*60)+MINUTE(CB5))-((HOUR(CA5)*60)+MINUTE(CA5)),"")</f>
        <v/>
      </c>
      <c r="CF5" s="20" t="s">
        <v>29</v>
      </c>
      <c r="CH5" s="20" t="n">
        <v>0.333333333333333</v>
      </c>
      <c r="CI5" s="1" t="str">
        <f aca="false">"[""" &amp; CF5 &amp; """, """ &amp; IF(CG5="","",TEXT(CG5,"h:mm")) &amp; """, """ &amp; IF(CH5="","",TEXT(CH5,"h:mm")) &amp; """],"</f>
        <v>["別府", "", "8:00"],</v>
      </c>
      <c r="CJ5" s="18" t="str">
        <f aca="false">IF(AND(LEN(CG5)&lt;&gt;0,LEN(CH5)&lt;&gt;0),((HOUR(CH5)*60)+MINUTE(CH5))-((HOUR(CG5)*60)+MINUTE(CG5)),"")</f>
        <v/>
      </c>
      <c r="CK5" s="21" t="s">
        <v>31</v>
      </c>
      <c r="CM5" s="22" t="n">
        <v>0.303472222222222</v>
      </c>
      <c r="CN5" s="1" t="str">
        <f aca="false">"[""" &amp; CK5 &amp; """, """ &amp; IF(CL5="","",TEXT(CL5,"h:mm")) &amp; """, """ &amp; IF(CM5="","",TEXT(CM5,"h:mm")) &amp; """],"</f>
        <v>["来居", "", "7:17"],</v>
      </c>
      <c r="CO5" s="18" t="str">
        <f aca="false">IF(AND(LEN(CL5)&lt;&gt;0,LEN(CM5)&lt;&gt;0),((HOUR(CM5)*60)+MINUTE(CM5))-((HOUR(CL5)*60)+MINUTE(CL5)),"")</f>
        <v/>
      </c>
      <c r="CP5" s="21" t="s">
        <v>31</v>
      </c>
      <c r="CR5" s="22" t="n">
        <v>0.303472222222222</v>
      </c>
      <c r="CS5" s="1" t="str">
        <f aca="false">"[""" &amp; CP5 &amp; """, """ &amp; IF(CQ5="","",TEXT(CQ5,"h:mm")) &amp; """, """ &amp; IF(CR5="","",TEXT(CR5,"h:mm")) &amp; """],"</f>
        <v>["来居", "", "7:17"],</v>
      </c>
      <c r="CT5" s="18" t="str">
        <f aca="false">IF(AND(LEN(CQ5)&lt;&gt;0,LEN(CR5)&lt;&gt;0),((HOUR(CR5)*60)+MINUTE(CR5))-((HOUR(CQ5)*60)+MINUTE(CQ5)),"")</f>
        <v/>
      </c>
      <c r="CU5" s="20" t="s">
        <v>29</v>
      </c>
      <c r="CW5" s="20" t="n">
        <v>0.333333333333333</v>
      </c>
      <c r="CX5" s="1" t="str">
        <f aca="false">"[""" &amp; CU5 &amp; """, """ &amp; IF(CV5="","",TEXT(CV5,"h:mm")) &amp; """, """ &amp; IF(CW5="","",TEXT(CW5,"h:mm")) &amp; """],"</f>
        <v>["別府", "", "8:00"],</v>
      </c>
      <c r="CY5" s="18" t="str">
        <f aca="false">IF(AND(LEN(CV5)&lt;&gt;0,LEN(CW5)&lt;&gt;0),((HOUR(CW5)*60)+MINUTE(CW5))-((HOUR(CV5)*60)+MINUTE(CV5)),"")</f>
        <v/>
      </c>
      <c r="CZ5" s="19" t="s">
        <v>30</v>
      </c>
      <c r="DA5" s="19"/>
      <c r="DB5" s="19" t="n">
        <v>0.317361111111111</v>
      </c>
      <c r="DC5" s="1" t="str">
        <f aca="false">"[""" &amp; CZ5 &amp; """, """ &amp; IF(DA5="","",TEXT(DA5,"h:mm")) &amp; """, """ &amp; IF(DB5="","",TEXT(DB5,"h:mm")) &amp; """],"</f>
        <v>["菱浦", "", "7:37"],</v>
      </c>
      <c r="DD5" s="18" t="str">
        <f aca="false">IF(AND(LEN(DA5)&lt;&gt;0,LEN(DB5)&lt;&gt;0),((HOUR(DB5)*60)+MINUTE(DB5))-((HOUR(DA5)*60)+MINUTE(DA5)),"")</f>
        <v/>
      </c>
      <c r="DE5" s="19" t="s">
        <v>30</v>
      </c>
      <c r="DF5" s="19"/>
      <c r="DG5" s="19" t="n">
        <v>0.317361111111111</v>
      </c>
      <c r="DH5" s="1" t="str">
        <f aca="false">"[""" &amp; DE5 &amp; """, """ &amp; IF(DF5="","",TEXT(DF5,"h:mm")) &amp; """, """ &amp; IF(DG5="","",TEXT(DG5,"h:mm")) &amp; """],"</f>
        <v>["菱浦", "", "7:37"],</v>
      </c>
      <c r="DI5" s="18" t="str">
        <f aca="false">IF(AND(LEN(DF5)&lt;&gt;0,LEN(DG5)&lt;&gt;0),((HOUR(DG5)*60)+MINUTE(DG5))-((HOUR(DF5)*60)+MINUTE(DF5)),"")</f>
        <v/>
      </c>
    </row>
    <row r="6" customFormat="false" ht="18" hidden="false" customHeight="false" outlineLevel="0" collapsed="false">
      <c r="A6" s="16" t="s">
        <v>28</v>
      </c>
      <c r="B6" s="17" t="n">
        <v>0.475694444444444</v>
      </c>
      <c r="C6" s="17" t="n">
        <v>0.5</v>
      </c>
      <c r="D6" s="1" t="str">
        <f aca="false">"[""" &amp; A6 &amp; """, """ &amp; IF(B6="","",TEXT(B6,"h:mm")) &amp; """, """ &amp; IF(C6="","",TEXT(C6,"h:mm")) &amp; """],"</f>
        <v>["西郷", "11:25", "12:00"],</v>
      </c>
      <c r="E6" s="18" t="n">
        <f aca="false">IF(AND(LEN(B6)&lt;&gt;0,LEN(C6)&lt;&gt;0),((HOUR(C6)*60)+MINUTE(C6))-((HOUR(B6)*60)+MINUTE(B6)),"")</f>
        <v>35</v>
      </c>
      <c r="F6" s="16" t="s">
        <v>30</v>
      </c>
      <c r="G6" s="17" t="n">
        <v>0.402777777777778</v>
      </c>
      <c r="H6" s="16" t="n">
        <v>0.409722222222222</v>
      </c>
      <c r="I6" s="1" t="str">
        <f aca="false">"[""" &amp; F6 &amp; """, """ &amp; IF(G6="","",TEXT(G6,"h:mm")) &amp; """, """ &amp; IF(H6="","",TEXT(H6,"h:mm")) &amp; """],"</f>
        <v>["菱浦", "9:40", "9:50"],</v>
      </c>
      <c r="J6" s="18" t="n">
        <f aca="false">IF(AND(LEN(G6)&lt;&gt;0,LEN(H6)&lt;&gt;0),((HOUR(H6)*60)+MINUTE(H6))-((HOUR(G6)*60)+MINUTE(G6)),"")</f>
        <v>10</v>
      </c>
      <c r="K6" s="16" t="s">
        <v>28</v>
      </c>
      <c r="L6" s="17" t="n">
        <v>0.475694444444444</v>
      </c>
      <c r="M6" s="17" t="n">
        <v>0.503472222222222</v>
      </c>
      <c r="N6" s="1" t="str">
        <f aca="false">"[""" &amp; K6 &amp; """, """ &amp; IF(L6="","",TEXT(L6,"h:mm")) &amp; """, """ &amp; IF(M6="","",TEXT(M6,"h:mm")) &amp; """],"</f>
        <v>["西郷", "11:25", "12:05"],</v>
      </c>
      <c r="O6" s="18" t="n">
        <f aca="false">IF(AND(LEN(L6)&lt;&gt;0,LEN(M6)&lt;&gt;0),((HOUR(M6)*60)+MINUTE(M6))-((HOUR(L6)*60)+MINUTE(L6)),"")</f>
        <v>40</v>
      </c>
      <c r="P6" s="16" t="s">
        <v>31</v>
      </c>
      <c r="Q6" s="17" t="n">
        <v>0.479166666666667</v>
      </c>
      <c r="R6" s="16" t="n">
        <v>0.482638888888889</v>
      </c>
      <c r="S6" s="1" t="str">
        <f aca="false">"[""" &amp; P6 &amp; """, """ &amp; IF(Q6="","",TEXT(Q6,"h:mm")) &amp; """, """ &amp; IF(R6="","",TEXT(R6,"h:mm")) &amp; """],"</f>
        <v>["来居", "11:30", "11:35"],</v>
      </c>
      <c r="T6" s="18" t="n">
        <f aca="false">IF(AND(LEN(Q6)&lt;&gt;0,LEN(R6)&lt;&gt;0),((HOUR(R6)*60)+MINUTE(R6))-((HOUR(Q6)*60)+MINUTE(Q6)),"")</f>
        <v>5</v>
      </c>
      <c r="U6" s="16" t="s">
        <v>30</v>
      </c>
      <c r="V6" s="17" t="n">
        <v>0.402777777777778</v>
      </c>
      <c r="W6" s="16" t="n">
        <v>0.409722222222222</v>
      </c>
      <c r="X6" s="1" t="str">
        <f aca="false">"[""" &amp; U6 &amp; """, """ &amp; IF(V6="","",TEXT(V6,"h:mm")) &amp; """, """ &amp; IF(W6="","",TEXT(W6,"h:mm")) &amp; """],"</f>
        <v>["菱浦", "9:40", "9:50"],</v>
      </c>
      <c r="Y6" s="18" t="n">
        <f aca="false">IF(AND(LEN(V6)&lt;&gt;0,LEN(W6)&lt;&gt;0),((HOUR(W6)*60)+MINUTE(W6))-((HOUR(V6)*60)+MINUTE(V6)),"")</f>
        <v>10</v>
      </c>
      <c r="Z6" s="16" t="s">
        <v>28</v>
      </c>
      <c r="AA6" s="17" t="n">
        <v>0.475694444444444</v>
      </c>
      <c r="AB6" s="17" t="n">
        <v>0.496527777777778</v>
      </c>
      <c r="AC6" s="1" t="str">
        <f aca="false">"[""" &amp; Z6 &amp; """, """ &amp; IF(AA6="","",TEXT(AA6,"h:mm")) &amp; """, """ &amp; IF(AB6="","",TEXT(AB6,"h:mm")) &amp; """],"</f>
        <v>["西郷", "11:25", "11:55"],</v>
      </c>
      <c r="AD6" s="18" t="n">
        <f aca="false">IF(AND(LEN(AA6)&lt;&gt;0,LEN(AB6)&lt;&gt;0),((HOUR(AB6)*60)+MINUTE(AB6))-((HOUR(AA6)*60)+MINUTE(AA6)),"")</f>
        <v>30</v>
      </c>
      <c r="AE6" s="16" t="s">
        <v>31</v>
      </c>
      <c r="AF6" s="17" t="n">
        <v>0.479166666666667</v>
      </c>
      <c r="AG6" s="16" t="n">
        <v>0.482638888888889</v>
      </c>
      <c r="AH6" s="1" t="str">
        <f aca="false">"[""" &amp; AE6 &amp; """, """ &amp; IF(AF6="","",TEXT(AF6,"h:mm")) &amp; """, """ &amp; IF(AG6="","",TEXT(AG6,"h:mm")) &amp; """],"</f>
        <v>["来居", "11:30", "11:35"],</v>
      </c>
      <c r="AI6" s="18" t="n">
        <f aca="false">IF(AND(LEN(AF6)&lt;&gt;0,LEN(AG6)&lt;&gt;0),((HOUR(AG6)*60)+MINUTE(AG6))-((HOUR(AF6)*60)+MINUTE(AF6)),"")</f>
        <v>5</v>
      </c>
      <c r="AJ6" s="16" t="s">
        <v>30</v>
      </c>
      <c r="AK6" s="17" t="n">
        <v>0.402777777777778</v>
      </c>
      <c r="AL6" s="16" t="n">
        <v>0.409722222222222</v>
      </c>
      <c r="AM6" s="1" t="str">
        <f aca="false">"[""" &amp; AJ6 &amp; """, """ &amp; IF(AK6="","",TEXT(AK6,"h:mm")) &amp; """, """ &amp; IF(AL6="","",TEXT(AL6,"h:mm")) &amp; """],"</f>
        <v>["菱浦", "9:40", "9:50"],</v>
      </c>
      <c r="AN6" s="18" t="n">
        <f aca="false">IF(AND(LEN(AK6)&lt;&gt;0,LEN(AL6)&lt;&gt;0),((HOUR(AL6)*60)+MINUTE(AL6))-((HOUR(AK6)*60)+MINUTE(AK6)),"")</f>
        <v>10</v>
      </c>
      <c r="AP6" s="16" t="s">
        <v>30</v>
      </c>
      <c r="AQ6" s="16" t="n">
        <v>0.340277777777778</v>
      </c>
      <c r="AR6" s="17" t="n">
        <v>0.343055555555556</v>
      </c>
      <c r="AS6" s="1" t="str">
        <f aca="false">"[""" &amp; AP6 &amp; """, """ &amp; IF(AQ6="","",TEXT(AQ6,"h:mm")) &amp; """, """ &amp; IF(AR6="","",TEXT(AR6,"h:mm")) &amp; """],"</f>
        <v>["菱浦", "8:10", "8:14"],</v>
      </c>
      <c r="AT6" s="18" t="n">
        <f aca="false">IF(AND(LEN(AQ6)&lt;&gt;0,LEN(AR6)&lt;&gt;0),((HOUR(AR6)*60)+MINUTE(AR6))-((HOUR(AQ6)*60)+MINUTE(AQ6)),"")</f>
        <v>4</v>
      </c>
      <c r="AU6" s="16" t="s">
        <v>30</v>
      </c>
      <c r="AV6" s="16" t="n">
        <v>0.340277777777778</v>
      </c>
      <c r="AW6" s="17" t="n">
        <v>0.343055555555556</v>
      </c>
      <c r="AX6" s="1" t="str">
        <f aca="false">"[""" &amp; AU6 &amp; """, """ &amp; IF(AV6="","",TEXT(AV6,"h:mm")) &amp; """, """ &amp; IF(AW6="","",TEXT(AW6,"h:mm")) &amp; """],"</f>
        <v>["菱浦", "8:10", "8:14"],</v>
      </c>
      <c r="AY6" s="18" t="n">
        <f aca="false">IF(AND(LEN(AV6)&lt;&gt;0,LEN(AW6)&lt;&gt;0),((HOUR(AW6)*60)+MINUTE(AW6))-((HOUR(AV6)*60)+MINUTE(AV6)),"")</f>
        <v>4</v>
      </c>
      <c r="AZ6" s="16" t="s">
        <v>30</v>
      </c>
      <c r="BA6" s="16" t="n">
        <v>0.326388888888889</v>
      </c>
      <c r="BB6" s="17" t="n">
        <v>0.329166666666667</v>
      </c>
      <c r="BC6" s="1" t="str">
        <f aca="false">"[""" &amp; AZ6 &amp; """, """ &amp; IF(BA6="","",TEXT(BA6,"h:mm")) &amp; """, """ &amp; IF(BB6="","",TEXT(BB6,"h:mm")) &amp; """],"</f>
        <v>["菱浦", "7:50", "7:54"],</v>
      </c>
      <c r="BD6" s="18" t="n">
        <f aca="false">IF(AND(LEN(BA6)&lt;&gt;0,LEN(BB6)&lt;&gt;0),((HOUR(BB6)*60)+MINUTE(BB6))-((HOUR(BA6)*60)+MINUTE(BA6)),"")</f>
        <v>4</v>
      </c>
      <c r="BE6" s="16" t="s">
        <v>30</v>
      </c>
      <c r="BF6" s="16" t="n">
        <v>0.340277777777778</v>
      </c>
      <c r="BG6" s="17" t="n">
        <v>0.343055555555556</v>
      </c>
      <c r="BH6" s="1" t="str">
        <f aca="false">"[""" &amp; BE6 &amp; """, """ &amp; IF(BF6="","",TEXT(BF6,"h:mm")) &amp; """, """ &amp; IF(BG6="","",TEXT(BG6,"h:mm")) &amp; """],"</f>
        <v>["菱浦", "8:10", "8:14"],</v>
      </c>
      <c r="BI6" s="18" t="n">
        <f aca="false">IF(AND(LEN(BF6)&lt;&gt;0,LEN(BG6)&lt;&gt;0),((HOUR(BG6)*60)+MINUTE(BG6))-((HOUR(BF6)*60)+MINUTE(BF6)),"")</f>
        <v>4</v>
      </c>
      <c r="BJ6" s="16" t="s">
        <v>30</v>
      </c>
      <c r="BK6" s="16" t="n">
        <v>0.340277777777778</v>
      </c>
      <c r="BL6" s="17" t="n">
        <v>0.343055555555556</v>
      </c>
      <c r="BM6" s="1" t="str">
        <f aca="false">"[""" &amp; BJ6 &amp; """, """ &amp; IF(BK6="","",TEXT(BK6,"h:mm")) &amp; """, """ &amp; IF(BL6="","",TEXT(BL6,"h:mm")) &amp; """],"</f>
        <v>["菱浦", "8:10", "8:14"],</v>
      </c>
      <c r="BN6" s="18" t="n">
        <f aca="false">IF(AND(LEN(BK6)&lt;&gt;0,LEN(BL6)&lt;&gt;0),((HOUR(BL6)*60)+MINUTE(BL6))-((HOUR(BK6)*60)+MINUTE(BK6)),"")</f>
        <v>4</v>
      </c>
      <c r="BP6" s="20" t="s">
        <v>29</v>
      </c>
      <c r="BQ6" s="20" t="n">
        <v>0.395833333333333</v>
      </c>
      <c r="BR6" s="20" t="n">
        <v>0.399305555555556</v>
      </c>
      <c r="BS6" s="1" t="str">
        <f aca="false">"[""" &amp; BP6 &amp; """, """ &amp; IF(BQ6="","",TEXT(BQ6,"h:mm")) &amp; """, """ &amp; IF(BR6="","",TEXT(BR6,"h:mm")) &amp; """],"</f>
        <v>["別府", "9:30", "9:35"],</v>
      </c>
      <c r="BT6" s="18" t="n">
        <f aca="false">IF(AND(LEN(BQ6)&lt;&gt;0,LEN(BR6)&lt;&gt;0),((HOUR(BR6)*60)+MINUTE(BR6))-((HOUR(BQ6)*60)+MINUTE(BQ6)),"")</f>
        <v>5</v>
      </c>
      <c r="BU6" s="20" t="s">
        <v>29</v>
      </c>
      <c r="BV6" s="20" t="n">
        <v>0.65625</v>
      </c>
      <c r="BW6" s="20" t="n">
        <v>0.659722222222222</v>
      </c>
      <c r="BX6" s="1" t="str">
        <f aca="false">"[""" &amp; BU6 &amp; """, """ &amp; IF(BV6="","",TEXT(BV6,"h:mm")) &amp; """, """ &amp; IF(BW6="","",TEXT(BW6,"h:mm")) &amp; """],"</f>
        <v>["別府", "15:45", "15:50"],</v>
      </c>
      <c r="BY6" s="18" t="n">
        <f aca="false">IF(AND(LEN(BV6)&lt;&gt;0,LEN(BW6)&lt;&gt;0),((HOUR(BW6)*60)+MINUTE(BW6))-((HOUR(BV6)*60)+MINUTE(BV6)),"")</f>
        <v>5</v>
      </c>
      <c r="BZ6" s="20" t="s">
        <v>29</v>
      </c>
      <c r="CA6" s="20" t="n">
        <v>0.322916666666667</v>
      </c>
      <c r="CB6" s="20" t="n">
        <v>0.326388888888889</v>
      </c>
      <c r="CC6" s="1" t="str">
        <f aca="false">"[""" &amp; BZ6 &amp; """, """ &amp; IF(CA6="","",TEXT(CA6,"h:mm")) &amp; """, """ &amp; IF(CB6="","",TEXT(CB6,"h:mm")) &amp; """],"</f>
        <v>["別府", "7:45", "7:50"],</v>
      </c>
      <c r="CD6" s="18" t="n">
        <f aca="false">IF(AND(LEN(CA6)&lt;&gt;0,LEN(CB6)&lt;&gt;0),((HOUR(CB6)*60)+MINUTE(CB6))-((HOUR(CA6)*60)+MINUTE(CA6)),"")</f>
        <v>5</v>
      </c>
      <c r="CF6" s="19" t="s">
        <v>30</v>
      </c>
      <c r="CG6" s="19" t="n">
        <v>0.338888888888889</v>
      </c>
      <c r="CH6" s="19" t="n">
        <v>0.340277777777778</v>
      </c>
      <c r="CI6" s="1" t="str">
        <f aca="false">"[""" &amp; CF6 &amp; """, """ &amp; IF(CG6="","",TEXT(CG6,"h:mm")) &amp; """, """ &amp; IF(CH6="","",TEXT(CH6,"h:mm")) &amp; """],"</f>
        <v>["菱浦", "8:08", "8:10"],</v>
      </c>
      <c r="CJ6" s="18" t="n">
        <f aca="false">IF(AND(LEN(CG6)&lt;&gt;0,LEN(CH6)&lt;&gt;0),((HOUR(CH6)*60)+MINUTE(CH6))-((HOUR(CG6)*60)+MINUTE(CG6)),"")</f>
        <v>2</v>
      </c>
      <c r="CK6" s="19" t="s">
        <v>30</v>
      </c>
      <c r="CL6" s="19" t="n">
        <v>0.315972222222222</v>
      </c>
      <c r="CM6" s="19" t="n">
        <v>0.317361111111111</v>
      </c>
      <c r="CN6" s="1" t="str">
        <f aca="false">"[""" &amp; CK6 &amp; """, """ &amp; IF(CL6="","",TEXT(CL6,"h:mm")) &amp; """, """ &amp; IF(CM6="","",TEXT(CM6,"h:mm")) &amp; """],"</f>
        <v>["菱浦", "7:35", "7:37"],</v>
      </c>
      <c r="CO6" s="18" t="n">
        <f aca="false">IF(AND(LEN(CL6)&lt;&gt;0,LEN(CM6)&lt;&gt;0),((HOUR(CM6)*60)+MINUTE(CM6))-((HOUR(CL6)*60)+MINUTE(CL6)),"")</f>
        <v>2</v>
      </c>
      <c r="CP6" s="19" t="s">
        <v>30</v>
      </c>
      <c r="CQ6" s="19" t="n">
        <v>0.315972222222222</v>
      </c>
      <c r="CR6" s="19" t="n">
        <v>0.317361111111111</v>
      </c>
      <c r="CS6" s="1" t="str">
        <f aca="false">"[""" &amp; CP6 &amp; """, """ &amp; IF(CQ6="","",TEXT(CQ6,"h:mm")) &amp; """, """ &amp; IF(CR6="","",TEXT(CR6,"h:mm")) &amp; """],"</f>
        <v>["菱浦", "7:35", "7:37"],</v>
      </c>
      <c r="CT6" s="18" t="n">
        <f aca="false">IF(AND(LEN(CQ6)&lt;&gt;0,LEN(CR6)&lt;&gt;0),((HOUR(CR6)*60)+MINUTE(CR6))-((HOUR(CQ6)*60)+MINUTE(CQ6)),"")</f>
        <v>2</v>
      </c>
      <c r="CU6" s="19" t="s">
        <v>30</v>
      </c>
      <c r="CV6" s="19" t="n">
        <v>0.338888888888889</v>
      </c>
      <c r="CW6" s="19" t="n">
        <v>0.340277777777778</v>
      </c>
      <c r="CX6" s="1" t="str">
        <f aca="false">"[""" &amp; CU6 &amp; """, """ &amp; IF(CV6="","",TEXT(CV6,"h:mm")) &amp; """, """ &amp; IF(CW6="","",TEXT(CW6,"h:mm")) &amp; """],"</f>
        <v>["菱浦", "8:08", "8:10"],</v>
      </c>
      <c r="CY6" s="18" t="n">
        <f aca="false">IF(AND(LEN(CV6)&lt;&gt;0,LEN(CW6)&lt;&gt;0),((HOUR(CW6)*60)+MINUTE(CW6))-((HOUR(CV6)*60)+MINUTE(CV6)),"")</f>
        <v>2</v>
      </c>
      <c r="CZ6" s="20" t="s">
        <v>29</v>
      </c>
      <c r="DA6" s="20" t="n">
        <v>0.322222222222222</v>
      </c>
      <c r="DB6" s="20" t="n">
        <v>0.350694444444444</v>
      </c>
      <c r="DC6" s="1" t="str">
        <f aca="false">"[""" &amp; CZ6 &amp; """, """ &amp; IF(DA6="","",TEXT(DA6,"h:mm")) &amp; """, """ &amp; IF(DB6="","",TEXT(DB6,"h:mm")) &amp; """],"</f>
        <v>["別府", "7:44", "8:25"],</v>
      </c>
      <c r="DD6" s="18" t="n">
        <f aca="false">IF(AND(LEN(DA6)&lt;&gt;0,LEN(DB6)&lt;&gt;0),((HOUR(DB6)*60)+MINUTE(DB6))-((HOUR(DA6)*60)+MINUTE(DA6)),"")</f>
        <v>41</v>
      </c>
      <c r="DE6" s="20" t="s">
        <v>29</v>
      </c>
      <c r="DF6" s="20" t="n">
        <v>0.322222222222222</v>
      </c>
      <c r="DG6" s="20" t="n">
        <v>0.350694444444444</v>
      </c>
      <c r="DH6" s="1" t="str">
        <f aca="false">"[""" &amp; DE6 &amp; """, """ &amp; IF(DF6="","",TEXT(DF6,"h:mm")) &amp; """, """ &amp; IF(DG6="","",TEXT(DG6,"h:mm")) &amp; """],"</f>
        <v>["別府", "7:44", "8:25"],</v>
      </c>
      <c r="DI6" s="18" t="n">
        <f aca="false">IF(AND(LEN(DF6)&lt;&gt;0,LEN(DG6)&lt;&gt;0),((HOUR(DG6)*60)+MINUTE(DG6))-((HOUR(DF6)*60)+MINUTE(DF6)),"")</f>
        <v>41</v>
      </c>
    </row>
    <row r="7" customFormat="false" ht="18" hidden="false" customHeight="false" outlineLevel="0" collapsed="false">
      <c r="A7" s="16" t="s">
        <v>30</v>
      </c>
      <c r="B7" s="17" t="n">
        <v>0.548611111111111</v>
      </c>
      <c r="C7" s="16" t="n">
        <v>0.555555555555556</v>
      </c>
      <c r="D7" s="1" t="str">
        <f aca="false">"[""" &amp; A7 &amp; """, """ &amp; IF(B7="","",TEXT(B7,"h:mm")) &amp; """, """ &amp; IF(C7="","",TEXT(C7,"h:mm")) &amp; """],"</f>
        <v>["菱浦", "13:10", "13:20"],</v>
      </c>
      <c r="E7" s="18" t="n">
        <f aca="false">IF(AND(LEN(B7)&lt;&gt;0,LEN(C7)&lt;&gt;0),((HOUR(C7)*60)+MINUTE(C7))-((HOUR(B7)*60)+MINUTE(B7)),"")</f>
        <v>10</v>
      </c>
      <c r="F7" s="16" t="s">
        <v>29</v>
      </c>
      <c r="G7" s="16" t="n">
        <v>0.420138888888889</v>
      </c>
      <c r="H7" s="16" t="n">
        <v>0.430555555555556</v>
      </c>
      <c r="I7" s="1" t="str">
        <f aca="false">"[""" &amp; F7 &amp; """, """ &amp; IF(G7="","",TEXT(G7,"h:mm")) &amp; """, """ &amp; IF(H7="","",TEXT(H7,"h:mm")) &amp; """],"</f>
        <v>["別府", "10:05", "10:20"],</v>
      </c>
      <c r="J7" s="18" t="n">
        <f aca="false">IF(AND(LEN(G7)&lt;&gt;0,LEN(H7)&lt;&gt;0),((HOUR(H7)*60)+MINUTE(H7))-((HOUR(G7)*60)+MINUTE(G7)),"")</f>
        <v>15</v>
      </c>
      <c r="K7" s="16" t="s">
        <v>30</v>
      </c>
      <c r="L7" s="17" t="n">
        <v>0.552083333333333</v>
      </c>
      <c r="M7" s="16" t="n">
        <v>0.635416666666667</v>
      </c>
      <c r="N7" s="1" t="str">
        <f aca="false">"[""" &amp; K7 &amp; """, """ &amp; IF(L7="","",TEXT(L7,"h:mm")) &amp; """, """ &amp; IF(M7="","",TEXT(M7,"h:mm")) &amp; """],"</f>
        <v>["菱浦", "13:15", "15:15"],</v>
      </c>
      <c r="O7" s="18" t="n">
        <f aca="false">IF(AND(LEN(L7)&lt;&gt;0,LEN(M7)&lt;&gt;0),((HOUR(M7)*60)+MINUTE(M7))-((HOUR(L7)*60)+MINUTE(L7)),"")</f>
        <v>120</v>
      </c>
      <c r="P7" s="16" t="s">
        <v>29</v>
      </c>
      <c r="Q7" s="16" t="n">
        <v>0.503472222222222</v>
      </c>
      <c r="R7" s="16" t="n">
        <v>0.513888888888889</v>
      </c>
      <c r="S7" s="1" t="str">
        <f aca="false">"[""" &amp; P7 &amp; """, """ &amp; IF(Q7="","",TEXT(Q7,"h:mm")) &amp; """, """ &amp; IF(R7="","",TEXT(R7,"h:mm")) &amp; """],"</f>
        <v>["別府", "12:05", "12:20"],</v>
      </c>
      <c r="T7" s="18" t="n">
        <f aca="false">IF(AND(LEN(Q7)&lt;&gt;0,LEN(R7)&lt;&gt;0),((HOUR(R7)*60)+MINUTE(R7))-((HOUR(Q7)*60)+MINUTE(Q7)),"")</f>
        <v>15</v>
      </c>
      <c r="U7" s="16" t="s">
        <v>29</v>
      </c>
      <c r="V7" s="16" t="n">
        <v>0.420138888888889</v>
      </c>
      <c r="W7" s="16" t="n">
        <v>0.430555555555556</v>
      </c>
      <c r="X7" s="1" t="str">
        <f aca="false">"[""" &amp; U7 &amp; """, """ &amp; IF(V7="","",TEXT(V7,"h:mm")) &amp; """, """ &amp; IF(W7="","",TEXT(W7,"h:mm")) &amp; """],"</f>
        <v>["別府", "10:05", "10:20"],</v>
      </c>
      <c r="Y7" s="18" t="n">
        <f aca="false">IF(AND(LEN(V7)&lt;&gt;0,LEN(W7)&lt;&gt;0),((HOUR(W7)*60)+MINUTE(W7))-((HOUR(V7)*60)+MINUTE(V7)),"")</f>
        <v>15</v>
      </c>
      <c r="Z7" s="16" t="s">
        <v>27</v>
      </c>
      <c r="AA7" s="17" t="n">
        <v>0.597222222222222</v>
      </c>
      <c r="AB7" s="17" t="n">
        <v>0.614583333333333</v>
      </c>
      <c r="AC7" s="1" t="str">
        <f aca="false">"[""" &amp; Z7 &amp; """, """ &amp; IF(AA7="","",TEXT(AA7,"h:mm")) &amp; """, """ &amp; IF(AB7="","",TEXT(AB7,"h:mm")) &amp; """],"</f>
        <v>["七類", "14:20", "14:45"],</v>
      </c>
      <c r="AD7" s="18" t="n">
        <f aca="false">IF(AND(LEN(AA7)&lt;&gt;0,LEN(AB7)&lt;&gt;0),((HOUR(AB7)*60)+MINUTE(AB7))-((HOUR(AA7)*60)+MINUTE(AA7)),"")</f>
        <v>25</v>
      </c>
      <c r="AE7" s="16" t="s">
        <v>29</v>
      </c>
      <c r="AF7" s="16" t="n">
        <v>0.503472222222222</v>
      </c>
      <c r="AG7" s="16" t="n">
        <v>0.513888888888889</v>
      </c>
      <c r="AH7" s="1" t="str">
        <f aca="false">"[""" &amp; AE7 &amp; """, """ &amp; IF(AF7="","",TEXT(AF7,"h:mm")) &amp; """, """ &amp; IF(AG7="","",TEXT(AG7,"h:mm")) &amp; """],"</f>
        <v>["別府", "12:05", "12:20"],</v>
      </c>
      <c r="AI7" s="18" t="n">
        <f aca="false">IF(AND(LEN(AF7)&lt;&gt;0,LEN(AG7)&lt;&gt;0),((HOUR(AG7)*60)+MINUTE(AG7))-((HOUR(AF7)*60)+MINUTE(AF7)),"")</f>
        <v>15</v>
      </c>
      <c r="AJ7" s="16" t="s">
        <v>29</v>
      </c>
      <c r="AK7" s="16" t="n">
        <v>0.420138888888889</v>
      </c>
      <c r="AL7" s="16" t="n">
        <v>0.430555555555556</v>
      </c>
      <c r="AM7" s="1" t="str">
        <f aca="false">"[""" &amp; AJ7 &amp; """, """ &amp; IF(AK7="","",TEXT(AK7,"h:mm")) &amp; """, """ &amp; IF(AL7="","",TEXT(AL7,"h:mm")) &amp; """],"</f>
        <v>["別府", "10:05", "10:20"],</v>
      </c>
      <c r="AN7" s="18" t="n">
        <f aca="false">IF(AND(LEN(AK7)&lt;&gt;0,LEN(AL7)&lt;&gt;0),((HOUR(AL7)*60)+MINUTE(AL7))-((HOUR(AK7)*60)+MINUTE(AK7)),"")</f>
        <v>15</v>
      </c>
      <c r="AP7" s="16" t="s">
        <v>28</v>
      </c>
      <c r="AQ7" s="17" t="n">
        <v>0.364583333333333</v>
      </c>
      <c r="AR7" s="17" t="n">
        <v>0.370833333333333</v>
      </c>
      <c r="AS7" s="1" t="str">
        <f aca="false">"[""" &amp; AP7 &amp; """, """ &amp; IF(AQ7="","",TEXT(AQ7,"h:mm")) &amp; """, """ &amp; IF(AR7="","",TEXT(AR7,"h:mm")) &amp; """],"</f>
        <v>["西郷", "8:45", "8:54"],</v>
      </c>
      <c r="AT7" s="18" t="n">
        <f aca="false">IF(AND(LEN(AQ7)&lt;&gt;0,LEN(AR7)&lt;&gt;0),((HOUR(AR7)*60)+MINUTE(AR7))-((HOUR(AQ7)*60)+MINUTE(AQ7)),"")</f>
        <v>9</v>
      </c>
      <c r="AU7" s="16" t="s">
        <v>28</v>
      </c>
      <c r="AV7" s="17" t="n">
        <v>0.364583333333333</v>
      </c>
      <c r="AW7" s="17" t="n">
        <v>0.370833333333333</v>
      </c>
      <c r="AX7" s="1" t="str">
        <f aca="false">"[""" &amp; AU7 &amp; """, """ &amp; IF(AV7="","",TEXT(AV7,"h:mm")) &amp; """, """ &amp; IF(AW7="","",TEXT(AW7,"h:mm")) &amp; """],"</f>
        <v>["西郷", "8:45", "8:54"],</v>
      </c>
      <c r="AY7" s="18" t="n">
        <f aca="false">IF(AND(LEN(AV7)&lt;&gt;0,LEN(AW7)&lt;&gt;0),((HOUR(AW7)*60)+MINUTE(AW7))-((HOUR(AV7)*60)+MINUTE(AV7)),"")</f>
        <v>9</v>
      </c>
      <c r="AZ7" s="16" t="s">
        <v>28</v>
      </c>
      <c r="BA7" s="17" t="n">
        <v>0.350694444444444</v>
      </c>
      <c r="BB7" s="17" t="n">
        <v>0.357638888888889</v>
      </c>
      <c r="BC7" s="1" t="str">
        <f aca="false">"[""" &amp; AZ7 &amp; """, """ &amp; IF(BA7="","",TEXT(BA7,"h:mm")) &amp; """, """ &amp; IF(BB7="","",TEXT(BB7,"h:mm")) &amp; """],"</f>
        <v>["西郷", "8:25", "8:35"],</v>
      </c>
      <c r="BD7" s="18" t="n">
        <f aca="false">IF(AND(LEN(BA7)&lt;&gt;0,LEN(BB7)&lt;&gt;0),((HOUR(BB7)*60)+MINUTE(BB7))-((HOUR(BA7)*60)+MINUTE(BA7)),"")</f>
        <v>10</v>
      </c>
      <c r="BE7" s="16" t="s">
        <v>28</v>
      </c>
      <c r="BF7" s="17" t="n">
        <v>0.364583333333333</v>
      </c>
      <c r="BG7" s="17" t="n">
        <v>0.370833333333333</v>
      </c>
      <c r="BH7" s="1" t="str">
        <f aca="false">"[""" &amp; BE7 &amp; """, """ &amp; IF(BF7="","",TEXT(BF7,"h:mm")) &amp; """, """ &amp; IF(BG7="","",TEXT(BG7,"h:mm")) &amp; """],"</f>
        <v>["西郷", "8:45", "8:54"],</v>
      </c>
      <c r="BI7" s="18" t="n">
        <f aca="false">IF(AND(LEN(BF7)&lt;&gt;0,LEN(BG7)&lt;&gt;0),((HOUR(BG7)*60)+MINUTE(BG7))-((HOUR(BF7)*60)+MINUTE(BF7)),"")</f>
        <v>9</v>
      </c>
      <c r="BJ7" s="16" t="s">
        <v>28</v>
      </c>
      <c r="BK7" s="17" t="n">
        <v>0.364583333333333</v>
      </c>
      <c r="BL7" s="17" t="n">
        <v>0.370833333333333</v>
      </c>
      <c r="BM7" s="1" t="str">
        <f aca="false">"[""" &amp; BJ7 &amp; """, """ &amp; IF(BK7="","",TEXT(BK7,"h:mm")) &amp; """, """ &amp; IF(BL7="","",TEXT(BL7,"h:mm")) &amp; """],"</f>
        <v>["西郷", "8:45", "8:54"],</v>
      </c>
      <c r="BN7" s="18" t="n">
        <f aca="false">IF(AND(LEN(BK7)&lt;&gt;0,LEN(BL7)&lt;&gt;0),((HOUR(BL7)*60)+MINUTE(BL7))-((HOUR(BK7)*60)+MINUTE(BK7)),"")</f>
        <v>9</v>
      </c>
      <c r="BP7" s="19" t="s">
        <v>30</v>
      </c>
      <c r="BQ7" s="19" t="n">
        <v>0.407638888888889</v>
      </c>
      <c r="BR7" s="19" t="n">
        <v>0.458333333333333</v>
      </c>
      <c r="BS7" s="1" t="str">
        <f aca="false">"[""" &amp; BP7 &amp; """, """ &amp; IF(BQ7="","",TEXT(BQ7,"h:mm")) &amp; """, """ &amp; IF(BR7="","",TEXT(BR7,"h:mm")) &amp; """],"</f>
        <v>["菱浦", "9:47", "11:00"],</v>
      </c>
      <c r="BT7" s="18" t="n">
        <f aca="false">IF(AND(LEN(BQ7)&lt;&gt;0,LEN(BR7)&lt;&gt;0),((HOUR(BR7)*60)+MINUTE(BR7))-((HOUR(BQ7)*60)+MINUTE(BQ7)),"")</f>
        <v>73</v>
      </c>
      <c r="BU7" s="19" t="s">
        <v>30</v>
      </c>
      <c r="BV7" s="19" t="n">
        <v>0.668055555555556</v>
      </c>
      <c r="BW7" s="19" t="n">
        <v>0.722222222222222</v>
      </c>
      <c r="BX7" s="1" t="str">
        <f aca="false">"[""" &amp; BU7 &amp; """, """ &amp; IF(BV7="","",TEXT(BV7,"h:mm")) &amp; """, """ &amp; IF(BW7="","",TEXT(BW7,"h:mm")) &amp; """],"</f>
        <v>["菱浦", "16:02", "17:20"],</v>
      </c>
      <c r="BY7" s="18" t="n">
        <f aca="false">IF(AND(LEN(BV7)&lt;&gt;0,LEN(BW7)&lt;&gt;0),((HOUR(BW7)*60)+MINUTE(BW7))-((HOUR(BV7)*60)+MINUTE(BV7)),"")</f>
        <v>78</v>
      </c>
      <c r="BZ7" s="19" t="s">
        <v>30</v>
      </c>
      <c r="CA7" s="19" t="n">
        <v>0.334722222222222</v>
      </c>
      <c r="CB7" s="19" t="n">
        <v>0.347222222222222</v>
      </c>
      <c r="CC7" s="1" t="str">
        <f aca="false">"[""" &amp; BZ7 &amp; """, """ &amp; IF(CA7="","",TEXT(CA7,"h:mm")) &amp; """, """ &amp; IF(CB7="","",TEXT(CB7,"h:mm")) &amp; """],"</f>
        <v>["菱浦", "8:02", "8:20"],</v>
      </c>
      <c r="CD7" s="18" t="n">
        <f aca="false">IF(AND(LEN(CA7)&lt;&gt;0,LEN(CB7)&lt;&gt;0),((HOUR(CB7)*60)+MINUTE(CB7))-((HOUR(CA7)*60)+MINUTE(CA7)),"")</f>
        <v>18</v>
      </c>
      <c r="CF7" s="20" t="s">
        <v>29</v>
      </c>
      <c r="CG7" s="20" t="n">
        <v>0.345833333333333</v>
      </c>
      <c r="CH7" s="20" t="n">
        <v>0.347222222222222</v>
      </c>
      <c r="CI7" s="1" t="str">
        <f aca="false">"[""" &amp; CF7 &amp; """, """ &amp; IF(CG7="","",TEXT(CG7,"h:mm")) &amp; """, """ &amp; IF(CH7="","",TEXT(CH7,"h:mm")) &amp; """],"</f>
        <v>["別府", "8:18", "8:20"],</v>
      </c>
      <c r="CJ7" s="18" t="n">
        <f aca="false">IF(AND(LEN(CG7)&lt;&gt;0,LEN(CH7)&lt;&gt;0),((HOUR(CH7)*60)+MINUTE(CH7))-((HOUR(CG7)*60)+MINUTE(CG7)),"")</f>
        <v>2</v>
      </c>
      <c r="CK7" s="20" t="s">
        <v>29</v>
      </c>
      <c r="CL7" s="20" t="n">
        <v>0.322222222222222</v>
      </c>
      <c r="CM7" s="20" t="n">
        <v>0.323611111111111</v>
      </c>
      <c r="CN7" s="1" t="str">
        <f aca="false">"[""" &amp; CK7 &amp; """, """ &amp; IF(CL7="","",TEXT(CL7,"h:mm")) &amp; """, """ &amp; IF(CM7="","",TEXT(CM7,"h:mm")) &amp; """],"</f>
        <v>["別府", "7:44", "7:46"],</v>
      </c>
      <c r="CO7" s="18" t="n">
        <f aca="false">IF(AND(LEN(CL7)&lt;&gt;0,LEN(CM7)&lt;&gt;0),((HOUR(CM7)*60)+MINUTE(CM7))-((HOUR(CL7)*60)+MINUTE(CL7)),"")</f>
        <v>2</v>
      </c>
      <c r="CP7" s="20" t="s">
        <v>29</v>
      </c>
      <c r="CQ7" s="20" t="n">
        <v>0.322222222222222</v>
      </c>
      <c r="CR7" s="20" t="n">
        <v>0.323611111111111</v>
      </c>
      <c r="CS7" s="1" t="str">
        <f aca="false">"[""" &amp; CP7 &amp; """, """ &amp; IF(CQ7="","",TEXT(CQ7,"h:mm")) &amp; """, """ &amp; IF(CR7="","",TEXT(CR7,"h:mm")) &amp; """],"</f>
        <v>["別府", "7:44", "7:46"],</v>
      </c>
      <c r="CT7" s="18" t="n">
        <f aca="false">IF(AND(LEN(CQ7)&lt;&gt;0,LEN(CR7)&lt;&gt;0),((HOUR(CR7)*60)+MINUTE(CR7))-((HOUR(CQ7)*60)+MINUTE(CQ7)),"")</f>
        <v>2</v>
      </c>
      <c r="CU7" s="20" t="s">
        <v>29</v>
      </c>
      <c r="CV7" s="20" t="n">
        <v>0.345833333333333</v>
      </c>
      <c r="CW7" s="20" t="n">
        <v>0.347222222222222</v>
      </c>
      <c r="CX7" s="1" t="str">
        <f aca="false">"[""" &amp; CU7 &amp; """, """ &amp; IF(CV7="","",TEXT(CV7,"h:mm")) &amp; """, """ &amp; IF(CW7="","",TEXT(CW7,"h:mm")) &amp; """],"</f>
        <v>["別府", "8:18", "8:20"],</v>
      </c>
      <c r="CY7" s="18" t="n">
        <f aca="false">IF(AND(LEN(CV7)&lt;&gt;0,LEN(CW7)&lt;&gt;0),((HOUR(CW7)*60)+MINUTE(CW7))-((HOUR(CV7)*60)+MINUTE(CV7)),"")</f>
        <v>2</v>
      </c>
      <c r="CZ7" s="19" t="s">
        <v>30</v>
      </c>
      <c r="DA7" s="19" t="n">
        <v>0.355555555555556</v>
      </c>
      <c r="DB7" s="19" t="n">
        <v>0.356944444444444</v>
      </c>
      <c r="DC7" s="1" t="str">
        <f aca="false">"[""" &amp; CZ7 &amp; """, """ &amp; IF(DA7="","",TEXT(DA7,"h:mm")) &amp; """, """ &amp; IF(DB7="","",TEXT(DB7,"h:mm")) &amp; """],"</f>
        <v>["菱浦", "8:32", "8:34"],</v>
      </c>
      <c r="DD7" s="18" t="n">
        <f aca="false">IF(AND(LEN(DA7)&lt;&gt;0,LEN(DB7)&lt;&gt;0),((HOUR(DB7)*60)+MINUTE(DB7))-((HOUR(DA7)*60)+MINUTE(DA7)),"")</f>
        <v>2</v>
      </c>
      <c r="DE7" s="19" t="s">
        <v>30</v>
      </c>
      <c r="DF7" s="19" t="n">
        <v>0.355555555555556</v>
      </c>
      <c r="DG7" s="19" t="n">
        <v>0.356944444444444</v>
      </c>
      <c r="DH7" s="1" t="str">
        <f aca="false">"[""" &amp; DE7 &amp; """, """ &amp; IF(DF7="","",TEXT(DF7,"h:mm")) &amp; """, """ &amp; IF(DG7="","",TEXT(DG7,"h:mm")) &amp; """],"</f>
        <v>["菱浦", "8:32", "8:34"],</v>
      </c>
      <c r="DI7" s="18" t="n">
        <f aca="false">IF(AND(LEN(DF7)&lt;&gt;0,LEN(DG7)&lt;&gt;0),((HOUR(DG7)*60)+MINUTE(DG7))-((HOUR(DF7)*60)+MINUTE(DF7)),"")</f>
        <v>2</v>
      </c>
    </row>
    <row r="8" customFormat="false" ht="18" hidden="false" customHeight="false" outlineLevel="0" collapsed="false">
      <c r="A8" s="16" t="s">
        <v>29</v>
      </c>
      <c r="B8" s="16" t="n">
        <v>0.565972222222222</v>
      </c>
      <c r="C8" s="17" t="n">
        <v>0.576388888888889</v>
      </c>
      <c r="D8" s="1" t="str">
        <f aca="false">"[""" &amp; A8 &amp; """, """ &amp; IF(B8="","",TEXT(B8,"h:mm")) &amp; """, """ &amp; IF(C8="","",TEXT(C8,"h:mm")) &amp; """],"</f>
        <v>["別府", "13:35", "13:50"],</v>
      </c>
      <c r="E8" s="18" t="n">
        <f aca="false">IF(AND(LEN(B8)&lt;&gt;0,LEN(C8)&lt;&gt;0),((HOUR(C8)*60)+MINUTE(C8))-((HOUR(B8)*60)+MINUTE(B8)),"")</f>
        <v>15</v>
      </c>
      <c r="F8" s="16" t="s">
        <v>31</v>
      </c>
      <c r="G8" s="16" t="n">
        <v>0.451388888888889</v>
      </c>
      <c r="H8" s="17" t="n">
        <v>0.454861111111111</v>
      </c>
      <c r="I8" s="1" t="str">
        <f aca="false">"[""" &amp; F8 &amp; """, """ &amp; IF(G8="","",TEXT(G8,"h:mm")) &amp; """, """ &amp; IF(H8="","",TEXT(H8,"h:mm")) &amp; """],"</f>
        <v>["来居", "10:50", "10:55"],</v>
      </c>
      <c r="J8" s="18" t="n">
        <f aca="false">IF(AND(LEN(G8)&lt;&gt;0,LEN(H8)&lt;&gt;0),((HOUR(H8)*60)+MINUTE(H8))-((HOUR(G8)*60)+MINUTE(G8)),"")</f>
        <v>5</v>
      </c>
      <c r="K8" s="16" t="s">
        <v>29</v>
      </c>
      <c r="L8" s="16" t="n">
        <v>0.645833333333333</v>
      </c>
      <c r="M8" s="17" t="n">
        <v>0.65625</v>
      </c>
      <c r="N8" s="1" t="str">
        <f aca="false">"[""" &amp; K8 &amp; """, """ &amp; IF(L8="","",TEXT(L8,"h:mm")) &amp; """, """ &amp; IF(M8="","",TEXT(M8,"h:mm")) &amp; """],"</f>
        <v>["別府", "15:30", "15:45"],</v>
      </c>
      <c r="O8" s="18" t="n">
        <f aca="false">IF(AND(LEN(L8)&lt;&gt;0,LEN(M8)&lt;&gt;0),((HOUR(M8)*60)+MINUTE(M8))-((HOUR(L8)*60)+MINUTE(L8)),"")</f>
        <v>15</v>
      </c>
      <c r="P8" s="16" t="s">
        <v>30</v>
      </c>
      <c r="Q8" s="16" t="n">
        <v>0.527777777777778</v>
      </c>
      <c r="R8" s="17" t="n">
        <v>0.534722222222222</v>
      </c>
      <c r="S8" s="1" t="str">
        <f aca="false">"[""" &amp; P8 &amp; """, """ &amp; IF(Q8="","",TEXT(Q8,"h:mm")) &amp; """, """ &amp; IF(R8="","",TEXT(R8,"h:mm")) &amp; """],"</f>
        <v>["菱浦", "12:40", "12:50"],</v>
      </c>
      <c r="T8" s="18" t="n">
        <f aca="false">IF(AND(LEN(Q8)&lt;&gt;0,LEN(R8)&lt;&gt;0),((HOUR(R8)*60)+MINUTE(R8))-((HOUR(Q8)*60)+MINUTE(Q8)),"")</f>
        <v>10</v>
      </c>
      <c r="U8" s="16" t="s">
        <v>31</v>
      </c>
      <c r="V8" s="16" t="n">
        <v>0.451388888888889</v>
      </c>
      <c r="W8" s="17" t="n">
        <v>0.454861111111111</v>
      </c>
      <c r="X8" s="1" t="str">
        <f aca="false">"[""" &amp; U8 &amp; """, """ &amp; IF(V8="","",TEXT(V8,"h:mm")) &amp; """, """ &amp; IF(W8="","",TEXT(W8,"h:mm")) &amp; """],"</f>
        <v>["来居", "10:50", "10:55"],</v>
      </c>
      <c r="Y8" s="18" t="n">
        <f aca="false">IF(AND(LEN(V8)&lt;&gt;0,LEN(W8)&lt;&gt;0),((HOUR(W8)*60)+MINUTE(W8))-((HOUR(V8)*60)+MINUTE(V8)),"")</f>
        <v>5</v>
      </c>
      <c r="Z8" s="16" t="s">
        <v>28</v>
      </c>
      <c r="AA8" s="17" t="n">
        <v>0.715277777777778</v>
      </c>
      <c r="AB8" s="17" t="n">
        <v>0.732638888888889</v>
      </c>
      <c r="AC8" s="1" t="str">
        <f aca="false">"[""" &amp; Z8 &amp; """, """ &amp; IF(AA8="","",TEXT(AA8,"h:mm")) &amp; """, """ &amp; IF(AB8="","",TEXT(AB8,"h:mm")) &amp; """],"</f>
        <v>["西郷", "17:10", "17:35"],</v>
      </c>
      <c r="AD8" s="18" t="n">
        <f aca="false">IF(AND(LEN(AA8)&lt;&gt;0,LEN(AB8)&lt;&gt;0),((HOUR(AB8)*60)+MINUTE(AB8))-((HOUR(AA8)*60)+MINUTE(AA8)),"")</f>
        <v>25</v>
      </c>
      <c r="AE8" s="16" t="s">
        <v>30</v>
      </c>
      <c r="AF8" s="16" t="n">
        <v>0.527777777777778</v>
      </c>
      <c r="AG8" s="17" t="n">
        <v>0.534722222222222</v>
      </c>
      <c r="AH8" s="1" t="str">
        <f aca="false">"[""" &amp; AE8 &amp; """, """ &amp; IF(AF8="","",TEXT(AF8,"h:mm")) &amp; """, """ &amp; IF(AG8="","",TEXT(AG8,"h:mm")) &amp; """],"</f>
        <v>["菱浦", "12:40", "12:50"],</v>
      </c>
      <c r="AI8" s="18" t="n">
        <f aca="false">IF(AND(LEN(AF8)&lt;&gt;0,LEN(AG8)&lt;&gt;0),((HOUR(AG8)*60)+MINUTE(AG8))-((HOUR(AF8)*60)+MINUTE(AF8)),"")</f>
        <v>10</v>
      </c>
      <c r="AJ8" s="16" t="s">
        <v>31</v>
      </c>
      <c r="AK8" s="16" t="n">
        <v>0.451388888888889</v>
      </c>
      <c r="AL8" s="17" t="n">
        <v>0.454861111111111</v>
      </c>
      <c r="AM8" s="1" t="str">
        <f aca="false">"[""" &amp; AJ8 &amp; """, """ &amp; IF(AK8="","",TEXT(AK8,"h:mm")) &amp; """, """ &amp; IF(AL8="","",TEXT(AL8,"h:mm")) &amp; """],"</f>
        <v>["来居", "10:50", "10:55"],</v>
      </c>
      <c r="AN8" s="18" t="n">
        <f aca="false">IF(AND(LEN(AK8)&lt;&gt;0,LEN(AL8)&lt;&gt;0),((HOUR(AL8)*60)+MINUTE(AL8))-((HOUR(AK8)*60)+MINUTE(AK8)),"")</f>
        <v>5</v>
      </c>
      <c r="AP8" s="16" t="s">
        <v>32</v>
      </c>
      <c r="AQ8" s="17" t="n">
        <v>0.428472222222222</v>
      </c>
      <c r="AR8" s="17" t="n">
        <v>0.673611111111111</v>
      </c>
      <c r="AS8" s="1" t="str">
        <f aca="false">"[""" &amp; AP8 &amp; """, """ &amp; IF(AQ8="","",TEXT(AQ8,"h:mm")) &amp; """, """ &amp; IF(AR8="","",TEXT(AR8,"h:mm")) &amp; """],"</f>
        <v>["境港", "10:17", "16:10"],</v>
      </c>
      <c r="AT8" s="18" t="n">
        <f aca="false">IF(AND(LEN(AQ8)&lt;&gt;0,LEN(AR8)&lt;&gt;0),((HOUR(AR8)*60)+MINUTE(AR8))-((HOUR(AQ8)*60)+MINUTE(AQ8)),"")</f>
        <v>353</v>
      </c>
      <c r="AU8" s="16" t="s">
        <v>27</v>
      </c>
      <c r="AV8" s="17" t="n">
        <v>0.41875</v>
      </c>
      <c r="AW8" s="17" t="n">
        <v>0.701388888888889</v>
      </c>
      <c r="AX8" s="1" t="str">
        <f aca="false">"[""" &amp; AU8 &amp; """, """ &amp; IF(AV8="","",TEXT(AV8,"h:mm")) &amp; """, """ &amp; IF(AW8="","",TEXT(AW8,"h:mm")) &amp; """],"</f>
        <v>["七類", "10:03", "16:50"],</v>
      </c>
      <c r="AY8" s="18" t="n">
        <f aca="false">IF(AND(LEN(AV8)&lt;&gt;0,LEN(AW8)&lt;&gt;0),((HOUR(AW8)*60)+MINUTE(AW8))-((HOUR(AV8)*60)+MINUTE(AV8)),"")</f>
        <v>407</v>
      </c>
      <c r="AZ8" s="16" t="s">
        <v>32</v>
      </c>
      <c r="BA8" s="17" t="n">
        <v>0.415277777777778</v>
      </c>
      <c r="BB8" s="17" t="n">
        <v>0.5</v>
      </c>
      <c r="BC8" s="1" t="str">
        <f aca="false">"[""" &amp; AZ8 &amp; """, """ &amp; IF(BA8="","",TEXT(BA8,"h:mm")) &amp; """, """ &amp; IF(BB8="","",TEXT(BB8,"h:mm")) &amp; """],"</f>
        <v>["境港", "9:58", "12:00"],</v>
      </c>
      <c r="BD8" s="18" t="n">
        <f aca="false">IF(AND(LEN(BA8)&lt;&gt;0,LEN(BB8)&lt;&gt;0),((HOUR(BB8)*60)+MINUTE(BB8))-((HOUR(BA8)*60)+MINUTE(BA8)),"")</f>
        <v>122</v>
      </c>
      <c r="BE8" s="16" t="s">
        <v>27</v>
      </c>
      <c r="BF8" s="17" t="n">
        <v>0.41875</v>
      </c>
      <c r="BG8" s="17" t="n">
        <v>0.65625</v>
      </c>
      <c r="BH8" s="1" t="str">
        <f aca="false">"[""" &amp; BE8 &amp; """, """ &amp; IF(BF8="","",TEXT(BF8,"h:mm")) &amp; """, """ &amp; IF(BG8="","",TEXT(BG8,"h:mm")) &amp; """],"</f>
        <v>["七類", "10:03", "15:45"],</v>
      </c>
      <c r="BI8" s="18" t="n">
        <f aca="false">IF(AND(LEN(BF8)&lt;&gt;0,LEN(BG8)&lt;&gt;0),((HOUR(BG8)*60)+MINUTE(BG8))-((HOUR(BF8)*60)+MINUTE(BF8)),"")</f>
        <v>342</v>
      </c>
      <c r="BJ8" s="16" t="s">
        <v>32</v>
      </c>
      <c r="BK8" s="17" t="n">
        <v>0.428472222222222</v>
      </c>
      <c r="BL8" s="17" t="n">
        <v>0.631944444444444</v>
      </c>
      <c r="BM8" s="1" t="str">
        <f aca="false">"[""" &amp; BJ8 &amp; """, """ &amp; IF(BK8="","",TEXT(BK8,"h:mm")) &amp; """, """ &amp; IF(BL8="","",TEXT(BL8,"h:mm")) &amp; """],"</f>
        <v>["境港", "10:17", "15:10"],</v>
      </c>
      <c r="BN8" s="18" t="n">
        <f aca="false">IF(AND(LEN(BK8)&lt;&gt;0,LEN(BL8)&lt;&gt;0),((HOUR(BL8)*60)+MINUTE(BL8))-((HOUR(BK8)*60)+MINUTE(BK8)),"")</f>
        <v>293</v>
      </c>
      <c r="BP8" s="20" t="s">
        <v>29</v>
      </c>
      <c r="BQ8" s="20" t="n">
        <v>0.46875</v>
      </c>
      <c r="BR8" s="20" t="n">
        <v>0.479166666666667</v>
      </c>
      <c r="BS8" s="1" t="str">
        <f aca="false">"[""" &amp; BP8 &amp; """, """ &amp; IF(BQ8="","",TEXT(BQ8,"h:mm")) &amp; """, """ &amp; IF(BR8="","",TEXT(BR8,"h:mm")) &amp; """],"</f>
        <v>["別府", "11:15", "11:30"],</v>
      </c>
      <c r="BT8" s="18" t="n">
        <f aca="false">IF(AND(LEN(BQ8)&lt;&gt;0,LEN(BR8)&lt;&gt;0),((HOUR(BR8)*60)+MINUTE(BR8))-((HOUR(BQ8)*60)+MINUTE(BQ8)),"")</f>
        <v>15</v>
      </c>
      <c r="BU8" s="20" t="s">
        <v>29</v>
      </c>
      <c r="BV8" s="20" t="n">
        <v>0.732638888888889</v>
      </c>
      <c r="BW8" s="20" t="n">
        <v>0.736111111111111</v>
      </c>
      <c r="BX8" s="1" t="str">
        <f aca="false">"[""" &amp; BU8 &amp; """, """ &amp; IF(BV8="","",TEXT(BV8,"h:mm")) &amp; """, """ &amp; IF(BW8="","",TEXT(BW8,"h:mm")) &amp; """],"</f>
        <v>["別府", "17:35", "17:40"],</v>
      </c>
      <c r="BY8" s="18" t="n">
        <f aca="false">IF(AND(LEN(BV8)&lt;&gt;0,LEN(BW8)&lt;&gt;0),((HOUR(BW8)*60)+MINUTE(BW8))-((HOUR(BV8)*60)+MINUTE(BV8)),"")</f>
        <v>5</v>
      </c>
      <c r="BZ8" s="20" t="s">
        <v>29</v>
      </c>
      <c r="CA8" s="20" t="n">
        <v>0.357638888888889</v>
      </c>
      <c r="CB8" s="20" t="n">
        <v>0.361111111111111</v>
      </c>
      <c r="CC8" s="1" t="str">
        <f aca="false">"[""" &amp; BZ8 &amp; """, """ &amp; IF(CA8="","",TEXT(CA8,"h:mm")) &amp; """, """ &amp; IF(CB8="","",TEXT(CB8,"h:mm")) &amp; """],"</f>
        <v>["別府", "8:35", "8:40"],</v>
      </c>
      <c r="CD8" s="18" t="n">
        <f aca="false">IF(AND(LEN(CA8)&lt;&gt;0,LEN(CB8)&lt;&gt;0),((HOUR(CB8)*60)+MINUTE(CB8))-((HOUR(CA8)*60)+MINUTE(CA8)),"")</f>
        <v>5</v>
      </c>
      <c r="CF8" s="21" t="s">
        <v>31</v>
      </c>
      <c r="CG8" s="22" t="n">
        <v>0.360416666666667</v>
      </c>
      <c r="CH8" s="22" t="n">
        <v>0.361805555555556</v>
      </c>
      <c r="CI8" s="1" t="str">
        <f aca="false">"[""" &amp; CF8 &amp; """, """ &amp; IF(CG8="","",TEXT(CG8,"h:mm")) &amp; """, """ &amp; IF(CH8="","",TEXT(CH8,"h:mm")) &amp; """],"</f>
        <v>["来居", "8:39", "8:41"],</v>
      </c>
      <c r="CJ8" s="18" t="n">
        <f aca="false">IF(AND(LEN(CG8)&lt;&gt;0,LEN(CH8)&lt;&gt;0),((HOUR(CH8)*60)+MINUTE(CH8))-((HOUR(CG8)*60)+MINUTE(CG8)),"")</f>
        <v>2</v>
      </c>
      <c r="CK8" s="21" t="s">
        <v>31</v>
      </c>
      <c r="CL8" s="22" t="n">
        <v>0.335416666666667</v>
      </c>
      <c r="CM8" s="22" t="n">
        <v>0.336805555555556</v>
      </c>
      <c r="CN8" s="1" t="str">
        <f aca="false">"[""" &amp; CK8 &amp; """, """ &amp; IF(CL8="","",TEXT(CL8,"h:mm")) &amp; """, """ &amp; IF(CM8="","",TEXT(CM8,"h:mm")) &amp; """],"</f>
        <v>["来居", "8:03", "8:05"],</v>
      </c>
      <c r="CO8" s="18" t="n">
        <f aca="false">IF(AND(LEN(CL8)&lt;&gt;0,LEN(CM8)&lt;&gt;0),((HOUR(CM8)*60)+MINUTE(CM8))-((HOUR(CL8)*60)+MINUTE(CL8)),"")</f>
        <v>2</v>
      </c>
      <c r="CP8" s="21" t="s">
        <v>31</v>
      </c>
      <c r="CQ8" s="22" t="n">
        <v>0.335416666666667</v>
      </c>
      <c r="CR8" s="22" t="n">
        <v>0.336805555555556</v>
      </c>
      <c r="CS8" s="1" t="str">
        <f aca="false">"[""" &amp; CP8 &amp; """, """ &amp; IF(CQ8="","",TEXT(CQ8,"h:mm")) &amp; """, """ &amp; IF(CR8="","",TEXT(CR8,"h:mm")) &amp; """],"</f>
        <v>["来居", "8:03", "8:05"],</v>
      </c>
      <c r="CT8" s="18" t="n">
        <f aca="false">IF(AND(LEN(CQ8)&lt;&gt;0,LEN(CR8)&lt;&gt;0),((HOUR(CR8)*60)+MINUTE(CR8))-((HOUR(CQ8)*60)+MINUTE(CQ8)),"")</f>
        <v>2</v>
      </c>
      <c r="CU8" s="19" t="s">
        <v>30</v>
      </c>
      <c r="CV8" s="19" t="n">
        <v>0.352777777777778</v>
      </c>
      <c r="CW8" s="19" t="n">
        <v>0.377083333333333</v>
      </c>
      <c r="CX8" s="1" t="str">
        <f aca="false">"[""" &amp; CU8 &amp; """, """ &amp; IF(CV8="","",TEXT(CV8,"h:mm")) &amp; """, """ &amp; IF(CW8="","",TEXT(CW8,"h:mm")) &amp; """],"</f>
        <v>["菱浦", "8:28", "9:03"],</v>
      </c>
      <c r="CY8" s="18" t="n">
        <f aca="false">IF(AND(LEN(CV8)&lt;&gt;0,LEN(CW8)&lt;&gt;0),((HOUR(CW8)*60)+MINUTE(CW8))-((HOUR(CV8)*60)+MINUTE(CV8)),"")</f>
        <v>35</v>
      </c>
      <c r="CZ8" s="20" t="s">
        <v>29</v>
      </c>
      <c r="DA8" s="20" t="n">
        <v>0.361805555555556</v>
      </c>
      <c r="DB8" s="20" t="n">
        <v>0.386805555555556</v>
      </c>
      <c r="DC8" s="1" t="str">
        <f aca="false">"[""" &amp; CZ8 &amp; """, """ &amp; IF(DA8="","",TEXT(DA8,"h:mm")) &amp; """, """ &amp; IF(DB8="","",TEXT(DB8,"h:mm")) &amp; """],"</f>
        <v>["別府", "8:41", "9:17"],</v>
      </c>
      <c r="DD8" s="18" t="n">
        <f aca="false">IF(AND(LEN(DA8)&lt;&gt;0,LEN(DB8)&lt;&gt;0),((HOUR(DB8)*60)+MINUTE(DB8))-((HOUR(DA8)*60)+MINUTE(DA8)),"")</f>
        <v>36</v>
      </c>
      <c r="DE8" s="20" t="s">
        <v>29</v>
      </c>
      <c r="DF8" s="20" t="n">
        <v>0.361805555555556</v>
      </c>
      <c r="DG8" s="20" t="n">
        <v>0.386805555555556</v>
      </c>
      <c r="DH8" s="1" t="str">
        <f aca="false">"[""" &amp; DE8 &amp; """, """ &amp; IF(DF8="","",TEXT(DF8,"h:mm")) &amp; """, """ &amp; IF(DG8="","",TEXT(DG8,"h:mm")) &amp; """],"</f>
        <v>["別府", "8:41", "9:17"],</v>
      </c>
      <c r="DI8" s="18" t="n">
        <f aca="false">IF(AND(LEN(DF8)&lt;&gt;0,LEN(DG8)&lt;&gt;0),((HOUR(DG8)*60)+MINUTE(DG8))-((HOUR(DF8)*60)+MINUTE(DF8)),"")</f>
        <v>36</v>
      </c>
    </row>
    <row r="9" customFormat="false" ht="18" hidden="false" customHeight="false" outlineLevel="0" collapsed="false">
      <c r="A9" s="16" t="s">
        <v>28</v>
      </c>
      <c r="B9" s="17" t="n">
        <v>0.625</v>
      </c>
      <c r="C9" s="17" t="n">
        <v>0.652777777777778</v>
      </c>
      <c r="D9" s="1" t="str">
        <f aca="false">"[""" &amp; A9 &amp; """, """ &amp; IF(B9="","",TEXT(B9,"h:mm")) &amp; """, """ &amp; IF(C9="","",TEXT(C9,"h:mm")) &amp; """],"</f>
        <v>["西郷", "15:00", "15:40"],</v>
      </c>
      <c r="E9" s="18" t="n">
        <f aca="false">IF(AND(LEN(B9)&lt;&gt;0,LEN(C9)&lt;&gt;0),((HOUR(C9)*60)+MINUTE(C9))-((HOUR(B9)*60)+MINUTE(B9)),"")</f>
        <v>40</v>
      </c>
      <c r="F9" s="16" t="s">
        <v>32</v>
      </c>
      <c r="G9" s="17" t="n">
        <v>0.555555555555556</v>
      </c>
      <c r="H9" s="17" t="n">
        <v>0.590277777777778</v>
      </c>
      <c r="I9" s="1" t="str">
        <f aca="false">"[""" &amp; F9 &amp; """, """ &amp; IF(G9="","",TEXT(G9,"h:mm")) &amp; """, """ &amp; IF(H9="","",TEXT(H9,"h:mm")) &amp; """],"</f>
        <v>["境港", "13:20", "14:10"],</v>
      </c>
      <c r="J9" s="18" t="n">
        <f aca="false">IF(AND(LEN(G9)&lt;&gt;0,LEN(H9)&lt;&gt;0),((HOUR(H9)*60)+MINUTE(H9))-((HOUR(G9)*60)+MINUTE(G9)),"")</f>
        <v>50</v>
      </c>
      <c r="K9" s="16" t="s">
        <v>27</v>
      </c>
      <c r="L9" s="17" t="n">
        <v>0.746527777777778</v>
      </c>
      <c r="M9" s="16"/>
      <c r="N9" s="1" t="str">
        <f aca="false">"[""" &amp; K9 &amp; """, """ &amp; IF(L9="","",TEXT(L9,"h:mm")) &amp; """, """ &amp; IF(M9="","",TEXT(M9,"h:mm")) &amp; """]"</f>
        <v>["七類", "17:55", ""]</v>
      </c>
      <c r="O9" s="18" t="str">
        <f aca="false">IF(AND(LEN(L9)&lt;&gt;0,LEN(M9)&lt;&gt;0),((HOUR(M9)*60)+MINUTE(M9))-((HOUR(L9)*60)+MINUTE(L9)),"")</f>
        <v/>
      </c>
      <c r="P9" s="16" t="s">
        <v>28</v>
      </c>
      <c r="Q9" s="17" t="n">
        <v>0.583333333333333</v>
      </c>
      <c r="R9" s="17" t="n">
        <v>0.631944444444444</v>
      </c>
      <c r="S9" s="1" t="str">
        <f aca="false">"[""" &amp; P9 &amp; """, """ &amp; IF(Q9="","",TEXT(Q9,"h:mm")) &amp; """, """ &amp; IF(R9="","",TEXT(R9,"h:mm")) &amp; """],"</f>
        <v>["西郷", "14:00", "15:10"],</v>
      </c>
      <c r="T9" s="18" t="n">
        <f aca="false">IF(AND(LEN(Q9)&lt;&gt;0,LEN(R9)&lt;&gt;0),((HOUR(R9)*60)+MINUTE(R9))-((HOUR(Q9)*60)+MINUTE(Q9)),"")</f>
        <v>70</v>
      </c>
      <c r="U9" s="16" t="s">
        <v>32</v>
      </c>
      <c r="V9" s="17" t="n">
        <v>0.555555555555556</v>
      </c>
      <c r="W9" s="17" t="n">
        <v>0.600694444444444</v>
      </c>
      <c r="X9" s="1" t="str">
        <f aca="false">"[""" &amp; U9 &amp; """, """ &amp; IF(V9="","",TEXT(V9,"h:mm")) &amp; """, """ &amp; IF(W9="","",TEXT(W9,"h:mm")) &amp; """],"</f>
        <v>["境港", "13:20", "14:25"],</v>
      </c>
      <c r="Y9" s="18" t="n">
        <f aca="false">IF(AND(LEN(V9)&lt;&gt;0,LEN(W9)&lt;&gt;0),((HOUR(W9)*60)+MINUTE(W9))-((HOUR(V9)*60)+MINUTE(V9)),"")</f>
        <v>65</v>
      </c>
      <c r="Z9" s="16" t="s">
        <v>27</v>
      </c>
      <c r="AA9" s="17" t="n">
        <v>0.833333333333333</v>
      </c>
      <c r="AB9" s="16"/>
      <c r="AC9" s="1" t="str">
        <f aca="false">"[""" &amp; Z9 &amp; """, """ &amp; IF(AA9="","",TEXT(AA9,"h:mm")) &amp; """, """ &amp; IF(AB9="","",TEXT(AB9,"h:mm")) &amp; """]"</f>
        <v>["七類", "20:00", ""]</v>
      </c>
      <c r="AD9" s="18" t="str">
        <f aca="false">IF(AND(LEN(AA9)&lt;&gt;0,LEN(AB9)&lt;&gt;0),((HOUR(AB9)*60)+MINUTE(AB9))-((HOUR(AA9)*60)+MINUTE(AA9)),"")</f>
        <v/>
      </c>
      <c r="AE9" s="16" t="s">
        <v>28</v>
      </c>
      <c r="AF9" s="17" t="n">
        <v>0.583333333333333</v>
      </c>
      <c r="AG9" s="17" t="n">
        <v>0.597222222222222</v>
      </c>
      <c r="AH9" s="1" t="str">
        <f aca="false">"[""" &amp; AE9 &amp; """, """ &amp; IF(AF9="","",TEXT(AF9,"h:mm")) &amp; """, """ &amp; IF(AG9="","",TEXT(AG9,"h:mm")) &amp; """],"</f>
        <v>["西郷", "14:00", "14:20"],</v>
      </c>
      <c r="AI9" s="18" t="n">
        <f aca="false">IF(AND(LEN(AF9)&lt;&gt;0,LEN(AG9)&lt;&gt;0),((HOUR(AG9)*60)+MINUTE(AG9))-((HOUR(AF9)*60)+MINUTE(AF9)),"")</f>
        <v>20</v>
      </c>
      <c r="AJ9" s="16" t="s">
        <v>32</v>
      </c>
      <c r="AK9" s="17" t="n">
        <v>0.555555555555556</v>
      </c>
      <c r="AL9" s="17" t="n">
        <v>0.600694444444444</v>
      </c>
      <c r="AM9" s="1" t="str">
        <f aca="false">"[""" &amp; AJ9 &amp; """, """ &amp; IF(AK9="","",TEXT(AK9,"h:mm")) &amp; """, """ &amp; IF(AL9="","",TEXT(AL9,"h:mm")) &amp; """],"</f>
        <v>["境港", "13:20", "14:25"],</v>
      </c>
      <c r="AN9" s="18" t="n">
        <f aca="false">IF(AND(LEN(AK9)&lt;&gt;0,LEN(AL9)&lt;&gt;0),((HOUR(AL9)*60)+MINUTE(AL9))-((HOUR(AK9)*60)+MINUTE(AK9)),"")</f>
        <v>65</v>
      </c>
      <c r="AP9" s="16" t="s">
        <v>28</v>
      </c>
      <c r="AQ9" s="17" t="n">
        <v>0.73125</v>
      </c>
      <c r="AR9" s="17" t="n">
        <v>0.735416666666667</v>
      </c>
      <c r="AS9" s="1" t="str">
        <f aca="false">"[""" &amp; AP9 &amp; """, """ &amp; IF(AQ9="","",TEXT(AQ9,"h:mm")) &amp; """, """ &amp; IF(AR9="","",TEXT(AR9,"h:mm")) &amp; """],"</f>
        <v>["西郷", "17:33", "17:39"],</v>
      </c>
      <c r="AT9" s="18" t="n">
        <f aca="false">IF(AND(LEN(AQ9)&lt;&gt;0,LEN(AR9)&lt;&gt;0),((HOUR(AR9)*60)+MINUTE(AR9))-((HOUR(AQ9)*60)+MINUTE(AQ9)),"")</f>
        <v>6</v>
      </c>
      <c r="AU9" s="16" t="s">
        <v>28</v>
      </c>
      <c r="AV9" s="17" t="n">
        <v>0.749305555555556</v>
      </c>
      <c r="AW9" s="17" t="n">
        <v>0.753472222222222</v>
      </c>
      <c r="AX9" s="1" t="str">
        <f aca="false">"[""" &amp; AU9 &amp; """, """ &amp; IF(AV9="","",TEXT(AV9,"h:mm")) &amp; """, """ &amp; IF(AW9="","",TEXT(AW9,"h:mm")) &amp; """],"</f>
        <v>["西郷", "17:59", "18:05"],</v>
      </c>
      <c r="AY9" s="18" t="n">
        <f aca="false">IF(AND(LEN(AV9)&lt;&gt;0,LEN(AW9)&lt;&gt;0),((HOUR(AW9)*60)+MINUTE(AW9))-((HOUR(AV9)*60)+MINUTE(AV9)),"")</f>
        <v>6</v>
      </c>
      <c r="AZ9" s="16" t="s">
        <v>28</v>
      </c>
      <c r="BA9" s="17" t="n">
        <v>0.557638888888889</v>
      </c>
      <c r="BB9" s="17" t="n">
        <v>0.5625</v>
      </c>
      <c r="BC9" s="1" t="str">
        <f aca="false">"[""" &amp; AZ9 &amp; """, """ &amp; IF(BA9="","",TEXT(BA9,"h:mm")) &amp; """, """ &amp; IF(BB9="","",TEXT(BB9,"h:mm")) &amp; """],"</f>
        <v>["西郷", "13:23", "13:30"],</v>
      </c>
      <c r="BD9" s="18" t="n">
        <f aca="false">IF(AND(LEN(BA9)&lt;&gt;0,LEN(BB9)&lt;&gt;0),((HOUR(BB9)*60)+MINUTE(BB9))-((HOUR(BA9)*60)+MINUTE(BA9)),"")</f>
        <v>7</v>
      </c>
      <c r="BE9" s="16" t="s">
        <v>28</v>
      </c>
      <c r="BF9" s="17" t="n">
        <v>0.704166666666667</v>
      </c>
      <c r="BG9" s="17" t="n">
        <v>0.708333333333333</v>
      </c>
      <c r="BH9" s="1" t="str">
        <f aca="false">"[""" &amp; BE9 &amp; """, """ &amp; IF(BF9="","",TEXT(BF9,"h:mm")) &amp; """, """ &amp; IF(BG9="","",TEXT(BG9,"h:mm")) &amp; """],"</f>
        <v>["西郷", "16:54", "17:00"],</v>
      </c>
      <c r="BI9" s="18" t="n">
        <f aca="false">IF(AND(LEN(BF9)&lt;&gt;0,LEN(BG9)&lt;&gt;0),((HOUR(BG9)*60)+MINUTE(BG9))-((HOUR(BF9)*60)+MINUTE(BF9)),"")</f>
        <v>6</v>
      </c>
      <c r="BJ9" s="16" t="s">
        <v>28</v>
      </c>
      <c r="BK9" s="17" t="n">
        <v>0.689583333333333</v>
      </c>
      <c r="BL9" s="17" t="n">
        <v>0.69375</v>
      </c>
      <c r="BM9" s="1" t="str">
        <f aca="false">"[""" &amp; BJ9 &amp; """, """ &amp; IF(BK9="","",TEXT(BK9,"h:mm")) &amp; """, """ &amp; IF(BL9="","",TEXT(BL9,"h:mm")) &amp; """],"</f>
        <v>["西郷", "16:33", "16:39"],</v>
      </c>
      <c r="BN9" s="18" t="n">
        <f aca="false">IF(AND(LEN(BK9)&lt;&gt;0,LEN(BL9)&lt;&gt;0),((HOUR(BL9)*60)+MINUTE(BL9))-((HOUR(BK9)*60)+MINUTE(BK9)),"")</f>
        <v>6</v>
      </c>
      <c r="BP9" s="19" t="s">
        <v>30</v>
      </c>
      <c r="BQ9" s="19" t="n">
        <v>0.4875</v>
      </c>
      <c r="BR9" s="19" t="n">
        <v>0.645833333333333</v>
      </c>
      <c r="BS9" s="1" t="str">
        <f aca="false">"[""" &amp; BP9 &amp; """, """ &amp; IF(BQ9="","",TEXT(BQ9,"h:mm")) &amp; """, """ &amp; IF(BR9="","",TEXT(BR9,"h:mm")) &amp; """],"</f>
        <v>["菱浦", "11:42", "15:30"],</v>
      </c>
      <c r="BT9" s="18" t="n">
        <f aca="false">IF(AND(LEN(BQ9)&lt;&gt;0,LEN(BR9)&lt;&gt;0),((HOUR(BR9)*60)+MINUTE(BR9))-((HOUR(BQ9)*60)+MINUTE(BQ9)),"")</f>
        <v>228</v>
      </c>
      <c r="BU9" s="19" t="s">
        <v>30</v>
      </c>
      <c r="BV9" s="19" t="n">
        <v>0.744444444444445</v>
      </c>
      <c r="BX9" s="1" t="str">
        <f aca="false">"[""" &amp; BU9 &amp; """, """ &amp; IF(BV9="","",TEXT(BV9,"h:mm")) &amp; """, """ &amp; IF(BW9="","",TEXT(BW9,"h:mm")) &amp; """]"</f>
        <v>["菱浦", "17:52", ""]</v>
      </c>
      <c r="BY9" s="18" t="str">
        <f aca="false">IF(AND(LEN(BV9)&lt;&gt;0,LEN(BW9)&lt;&gt;0),((HOUR(BW9)*60)+MINUTE(BW9))-((HOUR(BV9)*60)+MINUTE(BV9)),"")</f>
        <v/>
      </c>
      <c r="BZ9" s="19" t="s">
        <v>30</v>
      </c>
      <c r="CA9" s="19" t="n">
        <v>0.369444444444444</v>
      </c>
      <c r="CB9" s="19" t="n">
        <v>0.375</v>
      </c>
      <c r="CC9" s="1" t="str">
        <f aca="false">"[""" &amp; BZ9 &amp; """, """ &amp; IF(CA9="","",TEXT(CA9,"h:mm")) &amp; """, """ &amp; IF(CB9="","",TEXT(CB9,"h:mm")) &amp; """],"</f>
        <v>["菱浦", "8:52", "9:00"],</v>
      </c>
      <c r="CD9" s="18" t="n">
        <f aca="false">IF(AND(LEN(CA9)&lt;&gt;0,LEN(CB9)&lt;&gt;0),((HOUR(CB9)*60)+MINUTE(CB9))-((HOUR(CA9)*60)+MINUTE(CA9)),"")</f>
        <v>8</v>
      </c>
      <c r="CF9" s="19" t="s">
        <v>30</v>
      </c>
      <c r="CG9" s="19" t="n">
        <v>0.375694444444445</v>
      </c>
      <c r="CH9" s="19" t="n">
        <v>0.377083333333333</v>
      </c>
      <c r="CI9" s="1" t="str">
        <f aca="false">"[""" &amp; CF9 &amp; """, """ &amp; IF(CG9="","",TEXT(CG9,"h:mm")) &amp; """, """ &amp; IF(CH9="","",TEXT(CH9,"h:mm")) &amp; """],"</f>
        <v>["菱浦", "9:01", "9:03"],</v>
      </c>
      <c r="CJ9" s="18" t="n">
        <f aca="false">IF(AND(LEN(CG9)&lt;&gt;0,LEN(CH9)&lt;&gt;0),((HOUR(CH9)*60)+MINUTE(CH9))-((HOUR(CG9)*60)+MINUTE(CG9)),"")</f>
        <v>2</v>
      </c>
      <c r="CK9" s="20" t="s">
        <v>29</v>
      </c>
      <c r="CL9" s="20" t="n">
        <v>0.348611111111111</v>
      </c>
      <c r="CM9" s="20" t="n">
        <v>0.350694444444444</v>
      </c>
      <c r="CN9" s="1" t="str">
        <f aca="false">"[""" &amp; CK9 &amp; """, """ &amp; IF(CL9="","",TEXT(CL9,"h:mm")) &amp; """, """ &amp; IF(CM9="","",TEXT(CM9,"h:mm")) &amp; """],"</f>
        <v>["別府", "8:22", "8:25"],</v>
      </c>
      <c r="CO9" s="18" t="n">
        <f aca="false">IF(AND(LEN(CL9)&lt;&gt;0,LEN(CM9)&lt;&gt;0),((HOUR(CM9)*60)+MINUTE(CM9))-((HOUR(CL9)*60)+MINUTE(CL9)),"")</f>
        <v>3</v>
      </c>
      <c r="CP9" s="20" t="s">
        <v>29</v>
      </c>
      <c r="CQ9" s="20" t="n">
        <v>0.348611111111111</v>
      </c>
      <c r="CR9" s="20" t="n">
        <v>0.350694444444444</v>
      </c>
      <c r="CS9" s="1" t="str">
        <f aca="false">"[""" &amp; CP9 &amp; """, """ &amp; IF(CQ9="","",TEXT(CQ9,"h:mm")) &amp; """, """ &amp; IF(CR9="","",TEXT(CR9,"h:mm")) &amp; """],"</f>
        <v>["別府", "8:22", "8:25"],</v>
      </c>
      <c r="CT9" s="18" t="n">
        <f aca="false">IF(AND(LEN(CQ9)&lt;&gt;0,LEN(CR9)&lt;&gt;0),((HOUR(CR9)*60)+MINUTE(CR9))-((HOUR(CQ9)*60)+MINUTE(CQ9)),"")</f>
        <v>3</v>
      </c>
      <c r="CU9" s="20" t="s">
        <v>29</v>
      </c>
      <c r="CV9" s="20" t="n">
        <v>0.382638888888889</v>
      </c>
      <c r="CW9" s="20" t="n">
        <v>0.5</v>
      </c>
      <c r="CX9" s="1" t="str">
        <f aca="false">"[""" &amp; CU9 &amp; """, """ &amp; IF(CV9="","",TEXT(CV9,"h:mm")) &amp; """, """ &amp; IF(CW9="","",TEXT(CW9,"h:mm")) &amp; """],"</f>
        <v>["別府", "9:11", "12:00"],</v>
      </c>
      <c r="CY9" s="18" t="n">
        <f aca="false">IF(AND(LEN(CV9)&lt;&gt;0,LEN(CW9)&lt;&gt;0),((HOUR(CW9)*60)+MINUTE(CW9))-((HOUR(CV9)*60)+MINUTE(CV9)),"")</f>
        <v>169</v>
      </c>
      <c r="CZ9" s="19" t="s">
        <v>30</v>
      </c>
      <c r="DA9" s="19" t="n">
        <v>0.391666666666667</v>
      </c>
      <c r="DB9" s="19" t="n">
        <v>0.393055555555556</v>
      </c>
      <c r="DC9" s="1" t="str">
        <f aca="false">"[""" &amp; CZ9 &amp; """, """ &amp; IF(DA9="","",TEXT(DA9,"h:mm")) &amp; """, """ &amp; IF(DB9="","",TEXT(DB9,"h:mm")) &amp; """],"</f>
        <v>["菱浦", "9:24", "9:26"],</v>
      </c>
      <c r="DD9" s="18" t="n">
        <f aca="false">IF(AND(LEN(DA9)&lt;&gt;0,LEN(DB9)&lt;&gt;0),((HOUR(DB9)*60)+MINUTE(DB9))-((HOUR(DA9)*60)+MINUTE(DA9)),"")</f>
        <v>2</v>
      </c>
      <c r="DE9" s="19" t="s">
        <v>30</v>
      </c>
      <c r="DF9" s="19" t="n">
        <v>0.391666666666667</v>
      </c>
      <c r="DG9" s="19" t="n">
        <v>0.393055555555556</v>
      </c>
      <c r="DH9" s="1" t="str">
        <f aca="false">"[""" &amp; DE9 &amp; """, """ &amp; IF(DF9="","",TEXT(DF9,"h:mm")) &amp; """, """ &amp; IF(DG9="","",TEXT(DG9,"h:mm")) &amp; """],"</f>
        <v>["菱浦", "9:24", "9:26"],</v>
      </c>
      <c r="DI9" s="18" t="n">
        <f aca="false">IF(AND(LEN(DF9)&lt;&gt;0,LEN(DG9)&lt;&gt;0),((HOUR(DG9)*60)+MINUTE(DG9))-((HOUR(DF9)*60)+MINUTE(DF9)),"")</f>
        <v>2</v>
      </c>
    </row>
    <row r="10" customFormat="false" ht="18" hidden="false" customHeight="false" outlineLevel="0" collapsed="false">
      <c r="A10" s="16" t="s">
        <v>27</v>
      </c>
      <c r="B10" s="17" t="n">
        <v>0.753472222222222</v>
      </c>
      <c r="C10" s="16"/>
      <c r="D10" s="1" t="str">
        <f aca="false">"[""" &amp; A10 &amp; """, """ &amp; IF(B10="","",TEXT(B10,"h:mm")) &amp; """, """ &amp; IF(C10="","",TEXT(C10,"h:mm")) &amp; """]"</f>
        <v>["七類", "18:05", ""]</v>
      </c>
      <c r="E10" s="18" t="str">
        <f aca="false">IF(AND(LEN(B10)&lt;&gt;0,LEN(C10)&lt;&gt;0),((HOUR(C10)*60)+MINUTE(C10))-((HOUR(B10)*60)+MINUTE(B10)),"")</f>
        <v/>
      </c>
      <c r="F10" s="16" t="s">
        <v>31</v>
      </c>
      <c r="G10" s="17" t="n">
        <v>0.690972222222222</v>
      </c>
      <c r="H10" s="16" t="n">
        <v>0.694444444444445</v>
      </c>
      <c r="I10" s="1" t="str">
        <f aca="false">"[""" &amp; F10 &amp; """, """ &amp; IF(G10="","",TEXT(G10,"h:mm")) &amp; """, """ &amp; IF(H10="","",TEXT(H10,"h:mm")) &amp; """],"</f>
        <v>["来居", "16:35", "16:40"],</v>
      </c>
      <c r="J10" s="18" t="n">
        <f aca="false">IF(AND(LEN(G10)&lt;&gt;0,LEN(H10)&lt;&gt;0),((HOUR(H10)*60)+MINUTE(H10))-((HOUR(G10)*60)+MINUTE(G10)),"")</f>
        <v>5</v>
      </c>
      <c r="N10" s="1" t="s">
        <v>33</v>
      </c>
      <c r="O10" s="18" t="str">
        <f aca="false">IF(AND(LEN(L10)&lt;&gt;0,LEN(M10)&lt;&gt;0),((HOUR(M10)*60)+MINUTE(M10))-((HOUR(L10)*60)+MINUTE(L10)),"")</f>
        <v/>
      </c>
      <c r="P10" s="16" t="s">
        <v>27</v>
      </c>
      <c r="Q10" s="17" t="n">
        <v>0.732638888888889</v>
      </c>
      <c r="R10" s="16"/>
      <c r="S10" s="1" t="str">
        <f aca="false">"[""" &amp; P10 &amp; """, """ &amp; IF(Q10="","",TEXT(Q10,"h:mm")) &amp; """, """ &amp; IF(R10="","",TEXT(R10,"h:mm")) &amp; """]"</f>
        <v>["七類", "17:35", ""]</v>
      </c>
      <c r="T10" s="18" t="str">
        <f aca="false">IF(AND(LEN(Q10)&lt;&gt;0,LEN(R10)&lt;&gt;0),((HOUR(R10)*60)+MINUTE(R10))-((HOUR(Q10)*60)+MINUTE(Q10)),"")</f>
        <v/>
      </c>
      <c r="U10" s="16" t="s">
        <v>29</v>
      </c>
      <c r="V10" s="17" t="n">
        <v>0.711805555555556</v>
      </c>
      <c r="W10" s="17" t="n">
        <v>0.71875</v>
      </c>
      <c r="X10" s="1" t="str">
        <f aca="false">"[""" &amp; U10 &amp; """, """ &amp; IF(V10="","",TEXT(V10,"h:mm")) &amp; """, """ &amp; IF(W10="","",TEXT(W10,"h:mm")) &amp; """],"</f>
        <v>["別府", "17:05", "17:15"],</v>
      </c>
      <c r="Y10" s="18" t="n">
        <f aca="false">IF(AND(LEN(V10)&lt;&gt;0,LEN(W10)&lt;&gt;0),((HOUR(W10)*60)+MINUTE(W10))-((HOUR(V10)*60)+MINUTE(V10)),"")</f>
        <v>10</v>
      </c>
      <c r="AC10" s="1" t="s">
        <v>33</v>
      </c>
      <c r="AD10" s="18" t="str">
        <f aca="false">IF(AND(LEN(AA10)&lt;&gt;0,LEN(AB10)&lt;&gt;0),((HOUR(AB10)*60)+MINUTE(AB10))-((HOUR(AA10)*60)+MINUTE(AA10)),"")</f>
        <v/>
      </c>
      <c r="AE10" s="16" t="s">
        <v>30</v>
      </c>
      <c r="AF10" s="17" t="n">
        <v>0.645833333333333</v>
      </c>
      <c r="AG10" s="16" t="n">
        <v>0.65625</v>
      </c>
      <c r="AH10" s="1" t="str">
        <f aca="false">"[""" &amp; AE10 &amp; """, """ &amp; IF(AF10="","",TEXT(AF10,"h:mm")) &amp; """, """ &amp; IF(AG10="","",TEXT(AG10,"h:mm")) &amp; """],"</f>
        <v>["菱浦", "15:30", "15:45"],</v>
      </c>
      <c r="AI10" s="18" t="n">
        <f aca="false">IF(AND(LEN(AF10)&lt;&gt;0,LEN(AG10)&lt;&gt;0),((HOUR(AG10)*60)+MINUTE(AG10))-((HOUR(AF10)*60)+MINUTE(AF10)),"")</f>
        <v>15</v>
      </c>
      <c r="AJ10" s="16" t="s">
        <v>29</v>
      </c>
      <c r="AK10" s="17" t="n">
        <v>0.711805555555556</v>
      </c>
      <c r="AL10" s="17" t="n">
        <v>0.71875</v>
      </c>
      <c r="AM10" s="1" t="str">
        <f aca="false">"[""" &amp; AJ10 &amp; """, """ &amp; IF(AK10="","",TEXT(AK10,"h:mm")) &amp; """, """ &amp; IF(AL10="","",TEXT(AL10,"h:mm")) &amp; """],"</f>
        <v>["別府", "17:05", "17:15"],</v>
      </c>
      <c r="AN10" s="18" t="n">
        <f aca="false">IF(AND(LEN(AK10)&lt;&gt;0,LEN(AL10)&lt;&gt;0),((HOUR(AL10)*60)+MINUTE(AL10))-((HOUR(AK10)*60)+MINUTE(AK10)),"")</f>
        <v>10</v>
      </c>
      <c r="AP10" s="16" t="s">
        <v>30</v>
      </c>
      <c r="AQ10" s="17" t="n">
        <v>0.756944444444445</v>
      </c>
      <c r="AR10" s="16" t="n">
        <v>0.759027777777778</v>
      </c>
      <c r="AS10" s="1" t="str">
        <f aca="false">"[""" &amp; AP10 &amp; """, """ &amp; IF(AQ10="","",TEXT(AQ10,"h:mm")) &amp; """, """ &amp; IF(AR10="","",TEXT(AR10,"h:mm")) &amp; """],"</f>
        <v>["菱浦", "18:10", "18:13"],</v>
      </c>
      <c r="AT10" s="18" t="n">
        <f aca="false">IF(AND(LEN(AQ10)&lt;&gt;0,LEN(AR10)&lt;&gt;0),((HOUR(AR10)*60)+MINUTE(AR10))-((HOUR(AQ10)*60)+MINUTE(AQ10)),"")</f>
        <v>3</v>
      </c>
      <c r="AU10" s="16" t="s">
        <v>30</v>
      </c>
      <c r="AV10" s="17" t="n">
        <v>0.775</v>
      </c>
      <c r="AW10" s="16" t="n">
        <v>0.777083333333333</v>
      </c>
      <c r="AX10" s="1" t="str">
        <f aca="false">"[""" &amp; AU10 &amp; """, """ &amp; IF(AV10="","",TEXT(AV10,"h:mm")) &amp; """, """ &amp; IF(AW10="","",TEXT(AW10,"h:mm")) &amp; """],"</f>
        <v>["菱浦", "18:36", "18:39"],</v>
      </c>
      <c r="AY10" s="18" t="n">
        <f aca="false">IF(AND(LEN(AV10)&lt;&gt;0,LEN(AW10)&lt;&gt;0),((HOUR(AW10)*60)+MINUTE(AW10))-((HOUR(AV10)*60)+MINUTE(AV10)),"")</f>
        <v>3</v>
      </c>
      <c r="AZ10" s="16" t="s">
        <v>29</v>
      </c>
      <c r="BA10" s="17" t="n">
        <v>0.586805555555556</v>
      </c>
      <c r="BB10" s="17" t="n">
        <v>0.591666666666667</v>
      </c>
      <c r="BC10" s="1" t="str">
        <f aca="false">"[""" &amp; AZ10 &amp; """, """ &amp; IF(BA10="","",TEXT(BA10,"h:mm")) &amp; """, """ &amp; IF(BB10="","",TEXT(BB10,"h:mm")) &amp; """],"</f>
        <v>["別府", "14:05", "14:12"],</v>
      </c>
      <c r="BD10" s="18" t="n">
        <f aca="false">IF(AND(LEN(BA10)&lt;&gt;0,LEN(BB10)&lt;&gt;0),((HOUR(BB10)*60)+MINUTE(BB10))-((HOUR(BA10)*60)+MINUTE(BA10)),"")</f>
        <v>7</v>
      </c>
      <c r="BE10" s="16" t="s">
        <v>30</v>
      </c>
      <c r="BF10" s="17" t="n">
        <v>0.729861111111111</v>
      </c>
      <c r="BG10" s="16" t="n">
        <v>0.731944444444444</v>
      </c>
      <c r="BH10" s="1" t="str">
        <f aca="false">"[""" &amp; BE10 &amp; """, """ &amp; IF(BF10="","",TEXT(BF10,"h:mm")) &amp; """, """ &amp; IF(BG10="","",TEXT(BG10,"h:mm")) &amp; """],"</f>
        <v>["菱浦", "17:31", "17:34"],</v>
      </c>
      <c r="BI10" s="18" t="n">
        <f aca="false">IF(AND(LEN(BF10)&lt;&gt;0,LEN(BG10)&lt;&gt;0),((HOUR(BG10)*60)+MINUTE(BG10))-((HOUR(BF10)*60)+MINUTE(BF10)),"")</f>
        <v>3</v>
      </c>
      <c r="BJ10" s="16" t="s">
        <v>30</v>
      </c>
      <c r="BK10" s="17" t="n">
        <v>0.715277777777778</v>
      </c>
      <c r="BL10" s="16" t="n">
        <v>0.717361111111111</v>
      </c>
      <c r="BM10" s="1" t="str">
        <f aca="false">"[""" &amp; BJ10 &amp; """, """ &amp; IF(BK10="","",TEXT(BK10,"h:mm")) &amp; """, """ &amp; IF(BL10="","",TEXT(BL10,"h:mm")) &amp; """],"</f>
        <v>["菱浦", "17:10", "17:13"],</v>
      </c>
      <c r="BN10" s="18" t="n">
        <f aca="false">IF(AND(LEN(BK10)&lt;&gt;0,LEN(BL10)&lt;&gt;0),((HOUR(BL10)*60)+MINUTE(BL10))-((HOUR(BK10)*60)+MINUTE(BK10)),"")</f>
        <v>3</v>
      </c>
      <c r="BP10" s="20" t="s">
        <v>29</v>
      </c>
      <c r="BQ10" s="20" t="n">
        <v>0.65625</v>
      </c>
      <c r="BR10" s="20" t="n">
        <v>0.659722222222222</v>
      </c>
      <c r="BS10" s="1" t="str">
        <f aca="false">"[""" &amp; BP10 &amp; """, """ &amp; IF(BQ10="","",TEXT(BQ10,"h:mm")) &amp; """, """ &amp; IF(BR10="","",TEXT(BR10,"h:mm")) &amp; """],"</f>
        <v>["別府", "15:45", "15:50"],</v>
      </c>
      <c r="BT10" s="18" t="n">
        <f aca="false">IF(AND(LEN(BQ10)&lt;&gt;0,LEN(BR10)&lt;&gt;0),((HOUR(BR10)*60)+MINUTE(BR10))-((HOUR(BQ10)*60)+MINUTE(BQ10)),"")</f>
        <v>5</v>
      </c>
      <c r="BX10" s="1" t="s">
        <v>33</v>
      </c>
      <c r="BY10" s="18" t="str">
        <f aca="false">IF(AND(LEN(BV10)&lt;&gt;0,LEN(BW10)&lt;&gt;0),((HOUR(BW10)*60)+MINUTE(BW10))-((HOUR(BV10)*60)+MINUTE(BV10)),"")</f>
        <v/>
      </c>
      <c r="BZ10" s="20" t="s">
        <v>29</v>
      </c>
      <c r="CA10" s="20" t="n">
        <v>0.385416666666667</v>
      </c>
      <c r="CB10" s="20" t="n">
        <v>0.388888888888889</v>
      </c>
      <c r="CC10" s="1" t="str">
        <f aca="false">"[""" &amp; BZ10 &amp; """, """ &amp; IF(CA10="","",TEXT(CA10,"h:mm")) &amp; """, """ &amp; IF(CB10="","",TEXT(CB10,"h:mm")) &amp; """],"</f>
        <v>["別府", "9:15", "9:20"],</v>
      </c>
      <c r="CD10" s="18" t="n">
        <f aca="false">IF(AND(LEN(CA10)&lt;&gt;0,LEN(CB10)&lt;&gt;0),((HOUR(CB10)*60)+MINUTE(CB10))-((HOUR(CA10)*60)+MINUTE(CA10)),"")</f>
        <v>5</v>
      </c>
      <c r="CF10" s="20" t="s">
        <v>29</v>
      </c>
      <c r="CG10" s="20" t="n">
        <v>0.382638888888889</v>
      </c>
      <c r="CH10" s="20" t="n">
        <v>0.5</v>
      </c>
      <c r="CI10" s="1" t="str">
        <f aca="false">"[""" &amp; CF10 &amp; """, """ &amp; IF(CG10="","",TEXT(CG10,"h:mm")) &amp; """, """ &amp; IF(CH10="","",TEXT(CH10,"h:mm")) &amp; """],"</f>
        <v>["別府", "9:11", "12:00"],</v>
      </c>
      <c r="CJ10" s="18" t="n">
        <f aca="false">IF(AND(LEN(CG10)&lt;&gt;0,LEN(CH10)&lt;&gt;0),((HOUR(CH10)*60)+MINUTE(CH10))-((HOUR(CG10)*60)+MINUTE(CG10)),"")</f>
        <v>169</v>
      </c>
      <c r="CK10" s="19" t="s">
        <v>30</v>
      </c>
      <c r="CL10" s="19" t="n">
        <v>0.355555555555556</v>
      </c>
      <c r="CM10" s="19" t="n">
        <v>0.356944444444444</v>
      </c>
      <c r="CN10" s="1" t="str">
        <f aca="false">"[""" &amp; CK10 &amp; """, """ &amp; IF(CL10="","",TEXT(CL10,"h:mm")) &amp; """, """ &amp; IF(CM10="","",TEXT(CM10,"h:mm")) &amp; """],"</f>
        <v>["菱浦", "8:32", "8:34"],</v>
      </c>
      <c r="CO10" s="18" t="n">
        <f aca="false">IF(AND(LEN(CL10)&lt;&gt;0,LEN(CM10)&lt;&gt;0),((HOUR(CM10)*60)+MINUTE(CM10))-((HOUR(CL10)*60)+MINUTE(CL10)),"")</f>
        <v>2</v>
      </c>
      <c r="CP10" s="19" t="s">
        <v>30</v>
      </c>
      <c r="CQ10" s="19" t="n">
        <v>0.355555555555556</v>
      </c>
      <c r="CR10" s="19" t="n">
        <v>0.356944444444444</v>
      </c>
      <c r="CS10" s="1" t="str">
        <f aca="false">"[""" &amp; CP10 &amp; """, """ &amp; IF(CQ10="","",TEXT(CQ10,"h:mm")) &amp; """, """ &amp; IF(CR10="","",TEXT(CR10,"h:mm")) &amp; """],"</f>
        <v>["菱浦", "8:32", "8:34"],</v>
      </c>
      <c r="CT10" s="18" t="n">
        <f aca="false">IF(AND(LEN(CQ10)&lt;&gt;0,LEN(CR10)&lt;&gt;0),((HOUR(CR10)*60)+MINUTE(CR10))-((HOUR(CQ10)*60)+MINUTE(CQ10)),"")</f>
        <v>2</v>
      </c>
      <c r="CU10" s="19" t="s">
        <v>30</v>
      </c>
      <c r="CV10" s="19" t="n">
        <v>0.505555555555556</v>
      </c>
      <c r="CW10" s="19" t="n">
        <v>0.539583333333333</v>
      </c>
      <c r="CX10" s="1" t="str">
        <f aca="false">"[""" &amp; CU10 &amp; """, """ &amp; IF(CV10="","",TEXT(CV10,"h:mm")) &amp; """, """ &amp; IF(CW10="","",TEXT(CW10,"h:mm")) &amp; """],"</f>
        <v>["菱浦", "12:08", "12:57"],</v>
      </c>
      <c r="CY10" s="18" t="n">
        <f aca="false">IF(AND(LEN(CV10)&lt;&gt;0,LEN(CW10)&lt;&gt;0),((HOUR(CW10)*60)+MINUTE(CW10))-((HOUR(CV10)*60)+MINUTE(CV10)),"")</f>
        <v>49</v>
      </c>
      <c r="CZ10" s="20" t="s">
        <v>29</v>
      </c>
      <c r="DA10" s="20" t="n">
        <v>0.397916666666667</v>
      </c>
      <c r="DB10" s="20" t="n">
        <v>0.418055555555556</v>
      </c>
      <c r="DC10" s="1" t="str">
        <f aca="false">"[""" &amp; CZ10 &amp; """, """ &amp; IF(DA10="","",TEXT(DA10,"h:mm")) &amp; """, """ &amp; IF(DB10="","",TEXT(DB10,"h:mm")) &amp; """],"</f>
        <v>["別府", "9:33", "10:02"],</v>
      </c>
      <c r="DD10" s="18" t="n">
        <f aca="false">IF(AND(LEN(DA10)&lt;&gt;0,LEN(DB10)&lt;&gt;0),((HOUR(DB10)*60)+MINUTE(DB10))-((HOUR(DA10)*60)+MINUTE(DA10)),"")</f>
        <v>29</v>
      </c>
      <c r="DE10" s="20" t="s">
        <v>29</v>
      </c>
      <c r="DF10" s="20" t="n">
        <v>0.397916666666667</v>
      </c>
      <c r="DG10" s="20" t="n">
        <v>0.418055555555556</v>
      </c>
      <c r="DH10" s="1" t="str">
        <f aca="false">"[""" &amp; DE10 &amp; """, """ &amp; IF(DF10="","",TEXT(DF10,"h:mm")) &amp; """, """ &amp; IF(DG10="","",TEXT(DG10,"h:mm")) &amp; """],"</f>
        <v>["別府", "9:33", "10:02"],</v>
      </c>
      <c r="DI10" s="18" t="n">
        <f aca="false">IF(AND(LEN(DF10)&lt;&gt;0,LEN(DG10)&lt;&gt;0),((HOUR(DG10)*60)+MINUTE(DG10))-((HOUR(DF10)*60)+MINUTE(DF10)),"")</f>
        <v>29</v>
      </c>
    </row>
    <row r="11" customFormat="false" ht="18" hidden="false" customHeight="false" outlineLevel="0" collapsed="false">
      <c r="D11" s="1" t="s">
        <v>33</v>
      </c>
      <c r="E11" s="18" t="str">
        <f aca="false">IF(AND(LEN(B11)&lt;&gt;0,LEN(C11)&lt;&gt;0),((HOUR(C11)*60)+MINUTE(C11))-((HOUR(B11)*60)+MINUTE(B11)),"")</f>
        <v/>
      </c>
      <c r="F11" s="23" t="s">
        <v>29</v>
      </c>
      <c r="G11" s="24" t="n">
        <v>0.715277777777778</v>
      </c>
      <c r="H11" s="25" t="n">
        <v>0.722222222222222</v>
      </c>
      <c r="I11" s="1" t="str">
        <f aca="false">"[""" &amp; F11 &amp; """, """ &amp; IF(G11="","",TEXT(G11,"h:mm")) &amp; """, """ &amp; IF(H11="","",TEXT(H11,"h:mm")) &amp; """],"</f>
        <v>["別府", "17:10", "17:20"],</v>
      </c>
      <c r="J11" s="18" t="n">
        <f aca="false">IF(AND(LEN(G11)&lt;&gt;0,LEN(H11)&lt;&gt;0),((HOUR(H11)*60)+MINUTE(H11))-((HOUR(G11)*60)+MINUTE(G11)),"")</f>
        <v>10</v>
      </c>
      <c r="O11" s="18"/>
      <c r="S11" s="1" t="s">
        <v>33</v>
      </c>
      <c r="T11" s="18" t="str">
        <f aca="false">IF(AND(LEN(Q11)&lt;&gt;0,LEN(R11)&lt;&gt;0),((HOUR(R11)*60)+MINUTE(R11))-((HOUR(Q11)*60)+MINUTE(Q11)),"")</f>
        <v/>
      </c>
      <c r="U11" s="16" t="s">
        <v>28</v>
      </c>
      <c r="V11" s="17" t="n">
        <v>0.770833333333333</v>
      </c>
      <c r="W11" s="16"/>
      <c r="X11" s="1" t="str">
        <f aca="false">"[""" &amp; U11 &amp; """, """ &amp; IF(V11="","",TEXT(V11,"h:mm")) &amp; """, """ &amp; IF(W11="","",TEXT(W11,"h:mm")) &amp; """]"</f>
        <v>["西郷", "18:30", ""]</v>
      </c>
      <c r="Y11" s="18" t="str">
        <f aca="false">IF(AND(LEN(V11)&lt;&gt;0,LEN(W11)&lt;&gt;0),((HOUR(W11)*60)+MINUTE(W11))-((HOUR(V11)*60)+MINUTE(V11)),"")</f>
        <v/>
      </c>
      <c r="AD11" s="18"/>
      <c r="AE11" s="16" t="s">
        <v>29</v>
      </c>
      <c r="AF11" s="16" t="n">
        <v>0.666666666666667</v>
      </c>
      <c r="AG11" s="17" t="n">
        <v>0.677083333333333</v>
      </c>
      <c r="AH11" s="1" t="str">
        <f aca="false">"[""" &amp; AE11 &amp; """, """ &amp; IF(AF11="","",TEXT(AF11,"h:mm")) &amp; """, """ &amp; IF(AG11="","",TEXT(AG11,"h:mm")) &amp; """],"</f>
        <v>["別府", "16:00", "16:15"],</v>
      </c>
      <c r="AI11" s="18" t="n">
        <f aca="false">IF(AND(LEN(AF11)&lt;&gt;0,LEN(AG11)&lt;&gt;0),((HOUR(AG11)*60)+MINUTE(AG11))-((HOUR(AF11)*60)+MINUTE(AF11)),"")</f>
        <v>15</v>
      </c>
      <c r="AJ11" s="16" t="s">
        <v>28</v>
      </c>
      <c r="AK11" s="17" t="n">
        <v>0.770833333333333</v>
      </c>
      <c r="AL11" s="16"/>
      <c r="AM11" s="1" t="str">
        <f aca="false">"[""" &amp; AJ11 &amp; """, """ &amp; IF(AK11="","",TEXT(AK11,"h:mm")) &amp; """, """ &amp; IF(AL11="","",TEXT(AL11,"h:mm")) &amp; """]"</f>
        <v>["西郷", "18:30", ""]</v>
      </c>
      <c r="AN11" s="18" t="str">
        <f aca="false">IF(AND(LEN(AK11)&lt;&gt;0,LEN(AL11)&lt;&gt;0),((HOUR(AL11)*60)+MINUTE(AL11))-((HOUR(AK11)*60)+MINUTE(AK11)),"")</f>
        <v/>
      </c>
      <c r="AP11" s="16" t="s">
        <v>29</v>
      </c>
      <c r="AQ11" s="16" t="n">
        <v>0.765972222222222</v>
      </c>
      <c r="AR11" s="16"/>
      <c r="AS11" s="1" t="str">
        <f aca="false">"[""" &amp; AP11 &amp; """, """ &amp; IF(AQ11="","",TEXT(AQ11,"h:mm")) &amp; """, """ &amp; IF(AR11="","",TEXT(AR11,"h:mm")) &amp; """]"</f>
        <v>["別府", "18:23", ""]</v>
      </c>
      <c r="AT11" s="18" t="str">
        <f aca="false">IF(AND(LEN(AQ11)&lt;&gt;0,LEN(AR11)&lt;&gt;0),((HOUR(AR11)*60)+MINUTE(AR11))-((HOUR(AQ11)*60)+MINUTE(AQ11)),"")</f>
        <v/>
      </c>
      <c r="AU11" s="16" t="s">
        <v>29</v>
      </c>
      <c r="AV11" s="16" t="n">
        <v>0.784027777777778</v>
      </c>
      <c r="AW11" s="16"/>
      <c r="AX11" s="1" t="str">
        <f aca="false">"[""" &amp; AU11 &amp; """, """ &amp; IF(AV11="","",TEXT(AV11,"h:mm")) &amp; """, """ &amp; IF(AW11="","",TEXT(AW11,"h:mm")) &amp; """]"</f>
        <v>["別府", "18:49", ""]</v>
      </c>
      <c r="AY11" s="18" t="str">
        <f aca="false">IF(AND(LEN(AV11)&lt;&gt;0,LEN(AW11)&lt;&gt;0),((HOUR(AW11)*60)+MINUTE(AW11))-((HOUR(AV11)*60)+MINUTE(AV11)),"")</f>
        <v/>
      </c>
      <c r="AZ11" s="16" t="s">
        <v>27</v>
      </c>
      <c r="BA11" s="17" t="n">
        <v>0.633333333333333</v>
      </c>
      <c r="BB11" s="17" t="n">
        <v>0.701388888888889</v>
      </c>
      <c r="BC11" s="1" t="str">
        <f aca="false">"[""" &amp; AZ11 &amp; """, """ &amp; IF(BA11="","",TEXT(BA11,"h:mm")) &amp; """, """ &amp; IF(BB11="","",TEXT(BB11,"h:mm")) &amp; """],"</f>
        <v>["七類", "15:12", "16:50"],</v>
      </c>
      <c r="BD11" s="18" t="n">
        <f aca="false">IF(AND(LEN(BA11)&lt;&gt;0,LEN(BB11)&lt;&gt;0),((HOUR(BB11)*60)+MINUTE(BB11))-((HOUR(BA11)*60)+MINUTE(BA11)),"")</f>
        <v>98</v>
      </c>
      <c r="BE11" s="16" t="s">
        <v>29</v>
      </c>
      <c r="BF11" s="16" t="n">
        <v>0.738888888888889</v>
      </c>
      <c r="BG11" s="16"/>
      <c r="BH11" s="1" t="str">
        <f aca="false">"[""" &amp; BE11 &amp; """, """ &amp; IF(BF11="","",TEXT(BF11,"h:mm")) &amp; """, """ &amp; IF(BG11="","",TEXT(BG11,"h:mm")) &amp; """]"</f>
        <v>["別府", "17:44", ""]</v>
      </c>
      <c r="BI11" s="18" t="str">
        <f aca="false">IF(AND(LEN(BF11)&lt;&gt;0,LEN(BG11)&lt;&gt;0),((HOUR(BG11)*60)+MINUTE(BG11))-((HOUR(BF11)*60)+MINUTE(BF11)),"")</f>
        <v/>
      </c>
      <c r="BJ11" s="16" t="s">
        <v>29</v>
      </c>
      <c r="BK11" s="16" t="n">
        <v>0.724305555555556</v>
      </c>
      <c r="BL11" s="16"/>
      <c r="BM11" s="1" t="str">
        <f aca="false">"[""" &amp; BJ11 &amp; """, """ &amp; IF(BK11="","",TEXT(BK11,"h:mm")) &amp; """, """ &amp; IF(BL11="","",TEXT(BL11,"h:mm")) &amp; """]"</f>
        <v>["別府", "17:23", ""]</v>
      </c>
      <c r="BN11" s="18" t="str">
        <f aca="false">IF(AND(LEN(BK11)&lt;&gt;0,LEN(BL11)&lt;&gt;0),((HOUR(BL11)*60)+MINUTE(BL11))-((HOUR(BK11)*60)+MINUTE(BK11)),"")</f>
        <v/>
      </c>
      <c r="BP11" s="19" t="s">
        <v>30</v>
      </c>
      <c r="BQ11" s="19" t="n">
        <v>0.668055555555556</v>
      </c>
      <c r="BR11" s="19" t="n">
        <v>0.722222222222222</v>
      </c>
      <c r="BS11" s="1" t="str">
        <f aca="false">"[""" &amp; BP11 &amp; """, """ &amp; IF(BQ11="","",TEXT(BQ11,"h:mm")) &amp; """, """ &amp; IF(BR11="","",TEXT(BR11,"h:mm")) &amp; """],"</f>
        <v>["菱浦", "16:02", "17:20"],</v>
      </c>
      <c r="BT11" s="18" t="n">
        <f aca="false">IF(AND(LEN(BQ11)&lt;&gt;0,LEN(BR11)&lt;&gt;0),((HOUR(BR11)*60)+MINUTE(BR11))-((HOUR(BQ11)*60)+MINUTE(BQ11)),"")</f>
        <v>78</v>
      </c>
      <c r="BY11" s="18" t="str">
        <f aca="false">IF(AND(LEN(BV11)&lt;&gt;0,LEN(BW11)&lt;&gt;0),((HOUR(BW11)*60)+MINUTE(BW11))-((HOUR(BV11)*60)+MINUTE(BV11)),"")</f>
        <v/>
      </c>
      <c r="BZ11" s="21" t="s">
        <v>31</v>
      </c>
      <c r="CA11" s="22" t="n">
        <v>0.410416666666667</v>
      </c>
      <c r="CB11" s="22" t="n">
        <v>0.414583333333333</v>
      </c>
      <c r="CC11" s="1" t="str">
        <f aca="false">"[""" &amp; BZ11 &amp; """, """ &amp; IF(CA11="","",TEXT(CA11,"h:mm")) &amp; """, """ &amp; IF(CB11="","",TEXT(CB11,"h:mm")) &amp; """],"</f>
        <v>["来居", "9:51", "9:57"],</v>
      </c>
      <c r="CD11" s="18" t="n">
        <f aca="false">IF(AND(LEN(CA11)&lt;&gt;0,LEN(CB11)&lt;&gt;0),((HOUR(CB11)*60)+MINUTE(CB11))-((HOUR(CA11)*60)+MINUTE(CA11)),"")</f>
        <v>6</v>
      </c>
      <c r="CF11" s="19" t="s">
        <v>30</v>
      </c>
      <c r="CG11" s="19" t="n">
        <v>0.505555555555556</v>
      </c>
      <c r="CH11" s="19" t="n">
        <v>0.506944444444444</v>
      </c>
      <c r="CI11" s="1" t="str">
        <f aca="false">"[""" &amp; CF11 &amp; """, """ &amp; IF(CG11="","",TEXT(CG11,"h:mm")) &amp; """, """ &amp; IF(CH11="","",TEXT(CH11,"h:mm")) &amp; """],"</f>
        <v>["菱浦", "12:08", "12:10"],</v>
      </c>
      <c r="CJ11" s="18" t="n">
        <f aca="false">IF(AND(LEN(CG11)&lt;&gt;0,LEN(CH11)&lt;&gt;0),((HOUR(CH11)*60)+MINUTE(CH11))-((HOUR(CG11)*60)+MINUTE(CG11)),"")</f>
        <v>2</v>
      </c>
      <c r="CK11" s="21" t="s">
        <v>31</v>
      </c>
      <c r="CL11" s="22" t="n">
        <v>0.369444444444444</v>
      </c>
      <c r="CM11" s="22" t="n">
        <v>0.373611111111111</v>
      </c>
      <c r="CN11" s="1" t="str">
        <f aca="false">"[""" &amp; CK11 &amp; """, """ &amp; IF(CL11="","",TEXT(CL11,"h:mm")) &amp; """, """ &amp; IF(CM11="","",TEXT(CM11,"h:mm")) &amp; """],"</f>
        <v>["来居", "8:52", "8:58"],</v>
      </c>
      <c r="CO11" s="18" t="n">
        <f aca="false">IF(AND(LEN(CL11)&lt;&gt;0,LEN(CM11)&lt;&gt;0),((HOUR(CM11)*60)+MINUTE(CM11))-((HOUR(CL11)*60)+MINUTE(CL11)),"")</f>
        <v>6</v>
      </c>
      <c r="CP11" s="21" t="s">
        <v>31</v>
      </c>
      <c r="CQ11" s="22" t="n">
        <v>0.369444444444444</v>
      </c>
      <c r="CR11" s="22" t="n">
        <v>0.373611111111111</v>
      </c>
      <c r="CS11" s="1" t="str">
        <f aca="false">"[""" &amp; CP11 &amp; """, """ &amp; IF(CQ11="","",TEXT(CQ11,"h:mm")) &amp; """, """ &amp; IF(CR11="","",TEXT(CR11,"h:mm")) &amp; """],"</f>
        <v>["来居", "8:52", "8:58"],</v>
      </c>
      <c r="CT11" s="18" t="n">
        <f aca="false">IF(AND(LEN(CQ11)&lt;&gt;0,LEN(CR11)&lt;&gt;0),((HOUR(CR11)*60)+MINUTE(CR11))-((HOUR(CQ11)*60)+MINUTE(CQ11)),"")</f>
        <v>6</v>
      </c>
      <c r="CU11" s="20" t="s">
        <v>29</v>
      </c>
      <c r="CV11" s="20" t="n">
        <v>0.545138888888889</v>
      </c>
      <c r="CW11" s="20" t="n">
        <v>0.552083333333333</v>
      </c>
      <c r="CX11" s="1" t="str">
        <f aca="false">"[""" &amp; CU11 &amp; """, """ &amp; IF(CV11="","",TEXT(CV11,"h:mm")) &amp; """, """ &amp; IF(CW11="","",TEXT(CW11,"h:mm")) &amp; """],"</f>
        <v>["別府", "13:05", "13:15"],</v>
      </c>
      <c r="CY11" s="18" t="n">
        <f aca="false">IF(AND(LEN(CV11)&lt;&gt;0,LEN(CW11)&lt;&gt;0),((HOUR(CW11)*60)+MINUTE(CW11))-((HOUR(CV11)*60)+MINUTE(CV11)),"")</f>
        <v>10</v>
      </c>
      <c r="CZ11" s="19" t="s">
        <v>30</v>
      </c>
      <c r="DA11" s="19" t="n">
        <v>0.422916666666667</v>
      </c>
      <c r="DB11" s="19" t="n">
        <v>0.452083333333333</v>
      </c>
      <c r="DC11" s="1" t="str">
        <f aca="false">"[""" &amp; CZ11 &amp; """, """ &amp; IF(DA11="","",TEXT(DA11,"h:mm")) &amp; """, """ &amp; IF(DB11="","",TEXT(DB11,"h:mm")) &amp; """],"</f>
        <v>["菱浦", "10:09", "10:51"],</v>
      </c>
      <c r="DD11" s="18" t="n">
        <f aca="false">IF(AND(LEN(DA11)&lt;&gt;0,LEN(DB11)&lt;&gt;0),((HOUR(DB11)*60)+MINUTE(DB11))-((HOUR(DA11)*60)+MINUTE(DA11)),"")</f>
        <v>42</v>
      </c>
      <c r="DE11" s="19" t="s">
        <v>30</v>
      </c>
      <c r="DF11" s="19" t="n">
        <v>0.422916666666667</v>
      </c>
      <c r="DG11" s="19" t="n">
        <v>0.452083333333333</v>
      </c>
      <c r="DH11" s="1" t="str">
        <f aca="false">"[""" &amp; DE11 &amp; """, """ &amp; IF(DF11="","",TEXT(DF11,"h:mm")) &amp; """, """ &amp; IF(DG11="","",TEXT(DG11,"h:mm")) &amp; """],"</f>
        <v>["菱浦", "10:09", "10:51"],</v>
      </c>
      <c r="DI11" s="18" t="n">
        <f aca="false">IF(AND(LEN(DF11)&lt;&gt;0,LEN(DG11)&lt;&gt;0),((HOUR(DG11)*60)+MINUTE(DG11))-((HOUR(DF11)*60)+MINUTE(DF11)),"")</f>
        <v>42</v>
      </c>
    </row>
    <row r="12" customFormat="false" ht="18" hidden="false" customHeight="false" outlineLevel="0" collapsed="false">
      <c r="E12" s="18"/>
      <c r="F12" s="23" t="s">
        <v>28</v>
      </c>
      <c r="G12" s="25" t="n">
        <v>0.774305555555556</v>
      </c>
      <c r="H12" s="23"/>
      <c r="I12" s="1" t="str">
        <f aca="false">"[""" &amp; F12 &amp; """, """ &amp; IF(G12="","",TEXT(G12,"h:mm")) &amp; """, """ &amp; IF(H12="","",TEXT(H12,"h:mm")) &amp; """]"</f>
        <v>["西郷", "18:35", ""]</v>
      </c>
      <c r="J12" s="18" t="str">
        <f aca="false">IF(AND(LEN(G12)&lt;&gt;0,LEN(H12)&lt;&gt;0),((HOUR(H12)*60)+MINUTE(H12))-((HOUR(G12)*60)+MINUTE(G12)),"")</f>
        <v/>
      </c>
      <c r="O12" s="18"/>
      <c r="T12" s="18"/>
      <c r="X12" s="1" t="s">
        <v>33</v>
      </c>
      <c r="Y12" s="18" t="str">
        <f aca="false">IF(AND(LEN(V12)&lt;&gt;0,LEN(W12)&lt;&gt;0),((HOUR(W12)*60)+MINUTE(W12))-((HOUR(V12)*60)+MINUTE(V12)),"")</f>
        <v/>
      </c>
      <c r="AD12" s="18"/>
      <c r="AE12" s="16" t="s">
        <v>27</v>
      </c>
      <c r="AF12" s="17" t="n">
        <v>0.767361111111111</v>
      </c>
      <c r="AG12" s="16"/>
      <c r="AH12" s="1" t="str">
        <f aca="false">"[""" &amp; AE12 &amp; """, """ &amp; IF(AF12="","",TEXT(AF12,"h:mm")) &amp; """, """ &amp; IF(AG12="","",TEXT(AG12,"h:mm")) &amp; """]"</f>
        <v>["七類", "18:25", ""]</v>
      </c>
      <c r="AI12" s="18" t="str">
        <f aca="false">IF(AND(LEN(AF12)&lt;&gt;0,LEN(AG12)&lt;&gt;0),((HOUR(AG12)*60)+MINUTE(AG12))-((HOUR(AF12)*60)+MINUTE(AF12)),"")</f>
        <v/>
      </c>
      <c r="AM12" s="1" t="s">
        <v>33</v>
      </c>
      <c r="AN12" s="18" t="str">
        <f aca="false">IF(AND(LEN(AK12)&lt;&gt;0,LEN(AL12)&lt;&gt;0),((HOUR(AL12)*60)+MINUTE(AL12))-((HOUR(AK12)*60)+MINUTE(AK12)),"")</f>
        <v/>
      </c>
      <c r="AS12" s="1" t="s">
        <v>33</v>
      </c>
      <c r="AT12" s="18" t="str">
        <f aca="false">IF(AND(LEN(AQ12)&lt;&gt;0,LEN(AR12)&lt;&gt;0),((HOUR(AR12)*60)+MINUTE(AR12))-((HOUR(AQ12)*60)+MINUTE(AQ12)),"")</f>
        <v/>
      </c>
      <c r="AX12" s="1" t="s">
        <v>33</v>
      </c>
      <c r="AY12" s="18" t="str">
        <f aca="false">IF(AND(LEN(AV12)&lt;&gt;0,LEN(AW12)&lt;&gt;0),((HOUR(AW12)*60)+MINUTE(AW12))-((HOUR(AV12)*60)+MINUTE(AV12)),"")</f>
        <v/>
      </c>
      <c r="AZ12" s="16" t="s">
        <v>28</v>
      </c>
      <c r="BA12" s="17" t="n">
        <v>0.749305555555556</v>
      </c>
      <c r="BB12" s="17" t="n">
        <v>0.753472222222222</v>
      </c>
      <c r="BC12" s="1" t="str">
        <f aca="false">"[""" &amp; AZ12 &amp; """, """ &amp; IF(BA12="","",TEXT(BA12,"h:mm")) &amp; """, """ &amp; IF(BB12="","",TEXT(BB12,"h:mm")) &amp; """],"</f>
        <v>["西郷", "17:59", "18:05"],</v>
      </c>
      <c r="BD12" s="18" t="n">
        <f aca="false">IF(AND(LEN(BA12)&lt;&gt;0,LEN(BB12)&lt;&gt;0),((HOUR(BB12)*60)+MINUTE(BB12))-((HOUR(BA12)*60)+MINUTE(BA12)),"")</f>
        <v>6</v>
      </c>
      <c r="BH12" s="1" t="s">
        <v>33</v>
      </c>
      <c r="BI12" s="18" t="str">
        <f aca="false">IF(AND(LEN(BF12)&lt;&gt;0,LEN(BG12)&lt;&gt;0),((HOUR(BG12)*60)+MINUTE(BG12))-((HOUR(BF12)*60)+MINUTE(BF12)),"")</f>
        <v/>
      </c>
      <c r="BM12" s="1" t="s">
        <v>33</v>
      </c>
      <c r="BN12" s="18" t="str">
        <f aca="false">IF(AND(LEN(BK12)&lt;&gt;0,LEN(BL12)&lt;&gt;0),((HOUR(BL12)*60)+MINUTE(BL12))-((HOUR(BK12)*60)+MINUTE(BK12)),"")</f>
        <v/>
      </c>
      <c r="BP12" s="20" t="s">
        <v>29</v>
      </c>
      <c r="BQ12" s="20" t="n">
        <v>0.732638888888889</v>
      </c>
      <c r="BR12" s="20" t="n">
        <v>0.736111111111111</v>
      </c>
      <c r="BS12" s="1" t="str">
        <f aca="false">"[""" &amp; BP12 &amp; """, """ &amp; IF(BQ12="","",TEXT(BQ12,"h:mm")) &amp; """, """ &amp; IF(BR12="","",TEXT(BR12,"h:mm")) &amp; """],"</f>
        <v>["別府", "17:35", "17:40"],</v>
      </c>
      <c r="BT12" s="18" t="n">
        <f aca="false">IF(AND(LEN(BQ12)&lt;&gt;0,LEN(BR12)&lt;&gt;0),((HOUR(BR12)*60)+MINUTE(BR12))-((HOUR(BQ12)*60)+MINUTE(BQ12)),"")</f>
        <v>5</v>
      </c>
      <c r="BY12" s="18" t="str">
        <f aca="false">IF(AND(LEN(BV12)&lt;&gt;0,LEN(BW12)&lt;&gt;0),((HOUR(BW12)*60)+MINUTE(BW12))-((HOUR(BV12)*60)+MINUTE(BV12)),"")</f>
        <v/>
      </c>
      <c r="BZ12" s="20" t="s">
        <v>29</v>
      </c>
      <c r="CA12" s="20" t="n">
        <v>0.440972222222222</v>
      </c>
      <c r="CB12" s="20" t="n">
        <v>0.445833333333333</v>
      </c>
      <c r="CC12" s="1" t="str">
        <f aca="false">"[""" &amp; BZ12 &amp; """, """ &amp; IF(CA12="","",TEXT(CA12,"h:mm")) &amp; """, """ &amp; IF(CB12="","",TEXT(CB12,"h:mm")) &amp; """],"</f>
        <v>["別府", "10:35", "10:42"],</v>
      </c>
      <c r="CD12" s="18" t="n">
        <f aca="false">IF(AND(LEN(CA12)&lt;&gt;0,LEN(CB12)&lt;&gt;0),((HOUR(CB12)*60)+MINUTE(CB12))-((HOUR(CA12)*60)+MINUTE(CA12)),"")</f>
        <v>7</v>
      </c>
      <c r="CF12" s="21" t="s">
        <v>31</v>
      </c>
      <c r="CG12" s="22" t="n">
        <v>0.520833333333333</v>
      </c>
      <c r="CH12" s="22" t="n">
        <v>0.524305555555556</v>
      </c>
      <c r="CI12" s="1" t="str">
        <f aca="false">"[""" &amp; CF12 &amp; """, """ &amp; IF(CG12="","",TEXT(CG12,"h:mm")) &amp; """, """ &amp; IF(CH12="","",TEXT(CH12,"h:mm")) &amp; """],"</f>
        <v>["来居", "12:30", "12:35"],</v>
      </c>
      <c r="CJ12" s="18" t="n">
        <f aca="false">IF(AND(LEN(CG12)&lt;&gt;0,LEN(CH12)&lt;&gt;0),((HOUR(CH12)*60)+MINUTE(CH12))-((HOUR(CG12)*60)+MINUTE(CG12)),"")</f>
        <v>5</v>
      </c>
      <c r="CK12" s="20" t="s">
        <v>29</v>
      </c>
      <c r="CL12" s="20" t="n">
        <v>0.385416666666667</v>
      </c>
      <c r="CM12" s="20" t="n">
        <v>0.386805555555556</v>
      </c>
      <c r="CN12" s="1" t="str">
        <f aca="false">"[""" &amp; CK12 &amp; """, """ &amp; IF(CL12="","",TEXT(CL12,"h:mm")) &amp; """, """ &amp; IF(CM12="","",TEXT(CM12,"h:mm")) &amp; """],"</f>
        <v>["別府", "9:15", "9:17"],</v>
      </c>
      <c r="CO12" s="18" t="n">
        <f aca="false">IF(AND(LEN(CL12)&lt;&gt;0,LEN(CM12)&lt;&gt;0),((HOUR(CM12)*60)+MINUTE(CM12))-((HOUR(CL12)*60)+MINUTE(CL12)),"")</f>
        <v>2</v>
      </c>
      <c r="CP12" s="20" t="s">
        <v>29</v>
      </c>
      <c r="CQ12" s="20" t="n">
        <v>0.385416666666667</v>
      </c>
      <c r="CR12" s="20" t="n">
        <v>0.386805555555556</v>
      </c>
      <c r="CS12" s="1" t="str">
        <f aca="false">"[""" &amp; CP12 &amp; """, """ &amp; IF(CQ12="","",TEXT(CQ12,"h:mm")) &amp; """, """ &amp; IF(CR12="","",TEXT(CR12,"h:mm")) &amp; """],"</f>
        <v>["別府", "9:15", "9:17"],</v>
      </c>
      <c r="CT12" s="18" t="n">
        <f aca="false">IF(AND(LEN(CQ12)&lt;&gt;0,LEN(CR12)&lt;&gt;0),((HOUR(CR12)*60)+MINUTE(CR12))-((HOUR(CQ12)*60)+MINUTE(CQ12)),"")</f>
        <v>2</v>
      </c>
      <c r="CU12" s="19" t="s">
        <v>30</v>
      </c>
      <c r="CV12" s="19" t="n">
        <v>0.557638888888889</v>
      </c>
      <c r="CW12" s="19" t="n">
        <v>0.559027777777778</v>
      </c>
      <c r="CX12" s="1" t="str">
        <f aca="false">"[""" &amp; CU12 &amp; """, """ &amp; IF(CV12="","",TEXT(CV12,"h:mm")) &amp; """, """ &amp; IF(CW12="","",TEXT(CW12,"h:mm")) &amp; """],"</f>
        <v>["菱浦", "13:23", "13:25"],</v>
      </c>
      <c r="CY12" s="18" t="n">
        <f aca="false">IF(AND(LEN(CV12)&lt;&gt;0,LEN(CW12)&lt;&gt;0),((HOUR(CW12)*60)+MINUTE(CW12))-((HOUR(CV12)*60)+MINUTE(CV12)),"")</f>
        <v>2</v>
      </c>
      <c r="CZ12" s="20" t="s">
        <v>29</v>
      </c>
      <c r="DA12" s="20" t="n">
        <v>0.456944444444444</v>
      </c>
      <c r="DB12" s="20" t="n">
        <v>0.506944444444444</v>
      </c>
      <c r="DC12" s="1" t="str">
        <f aca="false">"[""" &amp; CZ12 &amp; """, """ &amp; IF(DA12="","",TEXT(DA12,"h:mm")) &amp; """, """ &amp; IF(DB12="","",TEXT(DB12,"h:mm")) &amp; """],"</f>
        <v>["別府", "10:58", "12:10"],</v>
      </c>
      <c r="DD12" s="18" t="n">
        <f aca="false">IF(AND(LEN(DA12)&lt;&gt;0,LEN(DB12)&lt;&gt;0),((HOUR(DB12)*60)+MINUTE(DB12))-((HOUR(DA12)*60)+MINUTE(DA12)),"")</f>
        <v>72</v>
      </c>
      <c r="DE12" s="20" t="s">
        <v>29</v>
      </c>
      <c r="DF12" s="20" t="n">
        <v>0.456944444444444</v>
      </c>
      <c r="DG12" s="20" t="n">
        <v>0.506944444444444</v>
      </c>
      <c r="DH12" s="1" t="str">
        <f aca="false">"[""" &amp; DE12 &amp; """, """ &amp; IF(DF12="","",TEXT(DF12,"h:mm")) &amp; """, """ &amp; IF(DG12="","",TEXT(DG12,"h:mm")) &amp; """],"</f>
        <v>["別府", "10:58", "12:10"],</v>
      </c>
      <c r="DI12" s="18" t="n">
        <f aca="false">IF(AND(LEN(DF12)&lt;&gt;0,LEN(DG12)&lt;&gt;0),((HOUR(DG12)*60)+MINUTE(DG12))-((HOUR(DF12)*60)+MINUTE(DF12)),"")</f>
        <v>72</v>
      </c>
    </row>
    <row r="13" customFormat="false" ht="18" hidden="false" customHeight="false" outlineLevel="0" collapsed="false">
      <c r="E13" s="18"/>
      <c r="I13" s="1" t="s">
        <v>33</v>
      </c>
      <c r="J13" s="18" t="str">
        <f aca="false">IF(AND(LEN(G13)&lt;&gt;0,LEN(H13)&lt;&gt;0),((HOUR(H13)*60)+MINUTE(H13))-((HOUR(G13)*60)+MINUTE(G13)),"")</f>
        <v/>
      </c>
      <c r="O13" s="18"/>
      <c r="T13" s="18"/>
      <c r="Y13" s="18"/>
      <c r="AD13" s="18"/>
      <c r="AH13" s="1" t="s">
        <v>33</v>
      </c>
      <c r="AI13" s="18" t="str">
        <f aca="false">IF(AND(LEN(AF13)&lt;&gt;0,LEN(AG13)&lt;&gt;0),((HOUR(AG13)*60)+MINUTE(AG13))-((HOUR(AF13)*60)+MINUTE(AF13)),"")</f>
        <v/>
      </c>
      <c r="AN13" s="18" t="str">
        <f aca="false">IF(AND(LEN(AK13)&lt;&gt;0,LEN(AL13)&lt;&gt;0),((HOUR(AL13)*60)+MINUTE(AL13))-((HOUR(AK13)*60)+MINUTE(AK13)),"")</f>
        <v/>
      </c>
      <c r="AT13" s="18" t="str">
        <f aca="false">IF(AND(LEN(AQ13)&lt;&gt;0,LEN(AR13)&lt;&gt;0),((HOUR(AR13)*60)+MINUTE(AR13))-((HOUR(AQ13)*60)+MINUTE(AQ13)),"")</f>
        <v/>
      </c>
      <c r="AY13" s="18" t="str">
        <f aca="false">IF(AND(LEN(AV13)&lt;&gt;0,LEN(AW13)&lt;&gt;0),((HOUR(AW13)*60)+MINUTE(AW13))-((HOUR(AV13)*60)+MINUTE(AV13)),"")</f>
        <v/>
      </c>
      <c r="AZ13" s="16" t="s">
        <v>30</v>
      </c>
      <c r="BA13" s="17" t="n">
        <v>0.775</v>
      </c>
      <c r="BB13" s="16" t="n">
        <v>0.777083333333333</v>
      </c>
      <c r="BC13" s="1" t="str">
        <f aca="false">"[""" &amp; AZ13 &amp; """, """ &amp; IF(BA13="","",TEXT(BA13,"h:mm")) &amp; """, """ &amp; IF(BB13="","",TEXT(BB13,"h:mm")) &amp; """],"</f>
        <v>["菱浦", "18:36", "18:39"],</v>
      </c>
      <c r="BD13" s="18" t="n">
        <f aca="false">IF(AND(LEN(BA13)&lt;&gt;0,LEN(BB13)&lt;&gt;0),((HOUR(BB13)*60)+MINUTE(BB13))-((HOUR(BA13)*60)+MINUTE(BA13)),"")</f>
        <v>3</v>
      </c>
      <c r="BI13" s="18" t="str">
        <f aca="false">IF(AND(LEN(BF13)&lt;&gt;0,LEN(BG13)&lt;&gt;0),((HOUR(BG13)*60)+MINUTE(BG13))-((HOUR(BF13)*60)+MINUTE(BF13)),"")</f>
        <v/>
      </c>
      <c r="BN13" s="18" t="str">
        <f aca="false">IF(AND(LEN(BK13)&lt;&gt;0,LEN(BL13)&lt;&gt;0),((HOUR(BL13)*60)+MINUTE(BL13))-((HOUR(BK13)*60)+MINUTE(BK13)),"")</f>
        <v/>
      </c>
      <c r="BP13" s="19" t="s">
        <v>30</v>
      </c>
      <c r="BQ13" s="19" t="n">
        <v>0.744444444444445</v>
      </c>
      <c r="BS13" s="1" t="str">
        <f aca="false">"[""" &amp; BP13 &amp; """, """ &amp; IF(BQ13="","",TEXT(BQ13,"h:mm")) &amp; """, """ &amp; IF(BR13="","",TEXT(BR13,"h:mm")) &amp; """]"</f>
        <v>["菱浦", "17:52", ""]</v>
      </c>
      <c r="BT13" s="18" t="str">
        <f aca="false">IF(AND(LEN(BQ13)&lt;&gt;0,LEN(BR13)&lt;&gt;0),((HOUR(BR13)*60)+MINUTE(BR13))-((HOUR(BQ13)*60)+MINUTE(BQ13)),"")</f>
        <v/>
      </c>
      <c r="BY13" s="18" t="str">
        <f aca="false">IF(AND(LEN(BV13)&lt;&gt;0,LEN(BW13)&lt;&gt;0),((HOUR(BW13)*60)+MINUTE(BW13))-((HOUR(BV13)*60)+MINUTE(BV13)),"")</f>
        <v/>
      </c>
      <c r="BZ13" s="19" t="s">
        <v>30</v>
      </c>
      <c r="CA13" s="19" t="n">
        <v>0.454166666666667</v>
      </c>
      <c r="CB13" s="19" t="n">
        <v>0.510416666666667</v>
      </c>
      <c r="CC13" s="1" t="str">
        <f aca="false">"[""" &amp; BZ13 &amp; """, """ &amp; IF(CA13="","",TEXT(CA13,"h:mm")) &amp; """, """ &amp; IF(CB13="","",TEXT(CB13,"h:mm")) &amp; """],"</f>
        <v>["菱浦", "10:54", "12:15"],</v>
      </c>
      <c r="CD13" s="18" t="n">
        <f aca="false">IF(AND(LEN(CA13)&lt;&gt;0,LEN(CB13)&lt;&gt;0),((HOUR(CB13)*60)+MINUTE(CB13))-((HOUR(CA13)*60)+MINUTE(CA13)),"")</f>
        <v>81</v>
      </c>
      <c r="CF13" s="19" t="s">
        <v>30</v>
      </c>
      <c r="CG13" s="19" t="n">
        <v>0.538194444444444</v>
      </c>
      <c r="CH13" s="19" t="n">
        <v>0.539583333333333</v>
      </c>
      <c r="CI13" s="1" t="str">
        <f aca="false">"[""" &amp; CF13 &amp; """, """ &amp; IF(CG13="","",TEXT(CG13,"h:mm")) &amp; """, """ &amp; IF(CH13="","",TEXT(CH13,"h:mm")) &amp; """],"</f>
        <v>["菱浦", "12:55", "12:57"],</v>
      </c>
      <c r="CJ13" s="18" t="n">
        <f aca="false">IF(AND(LEN(CG13)&lt;&gt;0,LEN(CH13)&lt;&gt;0),((HOUR(CH13)*60)+MINUTE(CH13))-((HOUR(CG13)*60)+MINUTE(CG13)),"")</f>
        <v>2</v>
      </c>
      <c r="CK13" s="19" t="s">
        <v>30</v>
      </c>
      <c r="CL13" s="19" t="n">
        <v>0.391666666666667</v>
      </c>
      <c r="CM13" s="19" t="n">
        <v>0.393055555555556</v>
      </c>
      <c r="CN13" s="1" t="str">
        <f aca="false">"[""" &amp; CK13 &amp; """, """ &amp; IF(CL13="","",TEXT(CL13,"h:mm")) &amp; """, """ &amp; IF(CM13="","",TEXT(CM13,"h:mm")) &amp; """],"</f>
        <v>["菱浦", "9:24", "9:26"],</v>
      </c>
      <c r="CO13" s="18" t="n">
        <f aca="false">IF(AND(LEN(CL13)&lt;&gt;0,LEN(CM13)&lt;&gt;0),((HOUR(CM13)*60)+MINUTE(CM13))-((HOUR(CL13)*60)+MINUTE(CL13)),"")</f>
        <v>2</v>
      </c>
      <c r="CP13" s="19" t="s">
        <v>30</v>
      </c>
      <c r="CQ13" s="19" t="n">
        <v>0.391666666666667</v>
      </c>
      <c r="CR13" s="19" t="n">
        <v>0.393055555555556</v>
      </c>
      <c r="CS13" s="1" t="str">
        <f aca="false">"[""" &amp; CP13 &amp; """, """ &amp; IF(CQ13="","",TEXT(CQ13,"h:mm")) &amp; """, """ &amp; IF(CR13="","",TEXT(CR13,"h:mm")) &amp; """],"</f>
        <v>["菱浦", "9:24", "9:26"],</v>
      </c>
      <c r="CT13" s="18" t="n">
        <f aca="false">IF(AND(LEN(CQ13)&lt;&gt;0,LEN(CR13)&lt;&gt;0),((HOUR(CR13)*60)+MINUTE(CR13))-((HOUR(CQ13)*60)+MINUTE(CQ13)),"")</f>
        <v>2</v>
      </c>
      <c r="CU13" s="20" t="s">
        <v>29</v>
      </c>
      <c r="CV13" s="20" t="n">
        <v>0.564583333333333</v>
      </c>
      <c r="CW13" s="20" t="n">
        <v>0.71875</v>
      </c>
      <c r="CX13" s="1" t="str">
        <f aca="false">"[""" &amp; CU13 &amp; """, """ &amp; IF(CV13="","",TEXT(CV13,"h:mm")) &amp; """, """ &amp; IF(CW13="","",TEXT(CW13,"h:mm")) &amp; """],"</f>
        <v>["別府", "13:33", "17:15"],</v>
      </c>
      <c r="CY13" s="18" t="n">
        <f aca="false">IF(AND(LEN(CV13)&lt;&gt;0,LEN(CW13)&lt;&gt;0),((HOUR(CW13)*60)+MINUTE(CW13))-((HOUR(CV13)*60)+MINUTE(CV13)),"")</f>
        <v>222</v>
      </c>
      <c r="CZ13" s="19" t="s">
        <v>30</v>
      </c>
      <c r="DA13" s="19" t="n">
        <v>0.5125</v>
      </c>
      <c r="DB13" s="19" t="n">
        <v>0.520833333333333</v>
      </c>
      <c r="DC13" s="1" t="str">
        <f aca="false">"[""" &amp; CZ13 &amp; """, """ &amp; IF(DA13="","",TEXT(DA13,"h:mm")) &amp; """, """ &amp; IF(DB13="","",TEXT(DB13,"h:mm")) &amp; """],"</f>
        <v>["菱浦", "12:18", "12:30"],</v>
      </c>
      <c r="DD13" s="18" t="n">
        <f aca="false">IF(AND(LEN(DA13)&lt;&gt;0,LEN(DB13)&lt;&gt;0),((HOUR(DB13)*60)+MINUTE(DB13))-((HOUR(DA13)*60)+MINUTE(DA13)),"")</f>
        <v>12</v>
      </c>
      <c r="DE13" s="19" t="s">
        <v>30</v>
      </c>
      <c r="DF13" s="19" t="n">
        <v>0.5125</v>
      </c>
      <c r="DG13" s="19" t="n">
        <v>0.520833333333333</v>
      </c>
      <c r="DH13" s="1" t="str">
        <f aca="false">"[""" &amp; DE13 &amp; """, """ &amp; IF(DF13="","",TEXT(DF13,"h:mm")) &amp; """, """ &amp; IF(DG13="","",TEXT(DG13,"h:mm")) &amp; """],"</f>
        <v>["菱浦", "12:18", "12:30"],</v>
      </c>
      <c r="DI13" s="18" t="n">
        <f aca="false">IF(AND(LEN(DF13)&lt;&gt;0,LEN(DG13)&lt;&gt;0),((HOUR(DG13)*60)+MINUTE(DG13))-((HOUR(DF13)*60)+MINUTE(DF13)),"")</f>
        <v>12</v>
      </c>
    </row>
    <row r="14" customFormat="false" ht="18" hidden="false" customHeight="false" outlineLevel="0" collapsed="false">
      <c r="E14" s="18"/>
      <c r="J14" s="18"/>
      <c r="O14" s="18"/>
      <c r="T14" s="18"/>
      <c r="Y14" s="18"/>
      <c r="AD14" s="18"/>
      <c r="AI14" s="18" t="str">
        <f aca="false">IF(AND(LEN(AF14)&lt;&gt;0,LEN(AG14)&lt;&gt;0),((HOUR(AG14)*60)+MINUTE(AG14))-((HOUR(AF14)*60)+MINUTE(AF14)),"")</f>
        <v/>
      </c>
      <c r="AN14" s="18" t="str">
        <f aca="false">IF(AND(LEN(AK14)&lt;&gt;0,LEN(AL14)&lt;&gt;0),((HOUR(AL14)*60)+MINUTE(AL14))-((HOUR(AK14)*60)+MINUTE(AK14)),"")</f>
        <v/>
      </c>
      <c r="AT14" s="18" t="str">
        <f aca="false">IF(AND(LEN(AQ14)&lt;&gt;0,LEN(AR14)&lt;&gt;0),((HOUR(AR14)*60)+MINUTE(AR14))-((HOUR(AQ14)*60)+MINUTE(AQ14)),"")</f>
        <v/>
      </c>
      <c r="AY14" s="18" t="str">
        <f aca="false">IF(AND(LEN(AV14)&lt;&gt;0,LEN(AW14)&lt;&gt;0),((HOUR(AW14)*60)+MINUTE(AW14))-((HOUR(AV14)*60)+MINUTE(AV14)),"")</f>
        <v/>
      </c>
      <c r="AZ14" s="16" t="s">
        <v>29</v>
      </c>
      <c r="BA14" s="16" t="n">
        <v>0.784027777777778</v>
      </c>
      <c r="BB14" s="16"/>
      <c r="BC14" s="1" t="str">
        <f aca="false">"[""" &amp; AZ14 &amp; """, """ &amp; IF(BA14="","",TEXT(BA14,"h:mm")) &amp; """, """ &amp; IF(BB14="","",TEXT(BB14,"h:mm")) &amp; """]"</f>
        <v>["別府", "18:49", ""]</v>
      </c>
      <c r="BD14" s="18" t="str">
        <f aca="false">IF(AND(LEN(BA14)&lt;&gt;0,LEN(BB14)&lt;&gt;0),((HOUR(BB14)*60)+MINUTE(BB14))-((HOUR(BA14)*60)+MINUTE(BA14)),"")</f>
        <v/>
      </c>
      <c r="BI14" s="18" t="str">
        <f aca="false">IF(AND(LEN(BF14)&lt;&gt;0,LEN(BG14)&lt;&gt;0),((HOUR(BG14)*60)+MINUTE(BG14))-((HOUR(BF14)*60)+MINUTE(BF14)),"")</f>
        <v/>
      </c>
      <c r="BN14" s="18" t="str">
        <f aca="false">IF(AND(LEN(BK14)&lt;&gt;0,LEN(BL14)&lt;&gt;0),((HOUR(BL14)*60)+MINUTE(BL14))-((HOUR(BK14)*60)+MINUTE(BK14)),"")</f>
        <v/>
      </c>
      <c r="BS14" s="1" t="s">
        <v>33</v>
      </c>
      <c r="BT14" s="18" t="str">
        <f aca="false">IF(AND(LEN(BQ14)&lt;&gt;0,LEN(BR14)&lt;&gt;0),((HOUR(BR14)*60)+MINUTE(BR14))-((HOUR(BQ14)*60)+MINUTE(BQ14)),"")</f>
        <v/>
      </c>
      <c r="BY14" s="18" t="str">
        <f aca="false">IF(AND(LEN(BV14)&lt;&gt;0,LEN(BW14)&lt;&gt;0),((HOUR(BW14)*60)+MINUTE(BW14))-((HOUR(BV14)*60)+MINUTE(BV14)),"")</f>
        <v/>
      </c>
      <c r="BZ14" s="20" t="s">
        <v>29</v>
      </c>
      <c r="CA14" s="20" t="n">
        <v>0.520833333333333</v>
      </c>
      <c r="CB14" s="20" t="n">
        <v>0.524305555555556</v>
      </c>
      <c r="CC14" s="1" t="str">
        <f aca="false">"[""" &amp; BZ14 &amp; """, """ &amp; IF(CA14="","",TEXT(CA14,"h:mm")) &amp; """, """ &amp; IF(CB14="","",TEXT(CB14,"h:mm")) &amp; """],"</f>
        <v>["別府", "12:30", "12:35"],</v>
      </c>
      <c r="CD14" s="18" t="n">
        <f aca="false">IF(AND(LEN(CA14)&lt;&gt;0,LEN(CB14)&lt;&gt;0),((HOUR(CB14)*60)+MINUTE(CB14))-((HOUR(CA14)*60)+MINUTE(CA14)),"")</f>
        <v>5</v>
      </c>
      <c r="CF14" s="20" t="s">
        <v>29</v>
      </c>
      <c r="CG14" s="20" t="n">
        <v>0.545138888888889</v>
      </c>
      <c r="CH14" s="20" t="n">
        <v>0.552083333333333</v>
      </c>
      <c r="CI14" s="1" t="str">
        <f aca="false">"[""" &amp; CF14 &amp; """, """ &amp; IF(CG14="","",TEXT(CG14,"h:mm")) &amp; """, """ &amp; IF(CH14="","",TEXT(CH14,"h:mm")) &amp; """],"</f>
        <v>["別府", "13:05", "13:15"],</v>
      </c>
      <c r="CJ14" s="18" t="n">
        <f aca="false">IF(AND(LEN(CG14)&lt;&gt;0,LEN(CH14)&lt;&gt;0),((HOUR(CH14)*60)+MINUTE(CH14))-((HOUR(CG14)*60)+MINUTE(CG14)),"")</f>
        <v>10</v>
      </c>
      <c r="CK14" s="20" t="s">
        <v>29</v>
      </c>
      <c r="CL14" s="20" t="n">
        <v>0.397916666666667</v>
      </c>
      <c r="CM14" s="20" t="n">
        <v>0.418055555555556</v>
      </c>
      <c r="CN14" s="1" t="str">
        <f aca="false">"[""" &amp; CK14 &amp; """, """ &amp; IF(CL14="","",TEXT(CL14,"h:mm")) &amp; """, """ &amp; IF(CM14="","",TEXT(CM14,"h:mm")) &amp; """],"</f>
        <v>["別府", "9:33", "10:02"],</v>
      </c>
      <c r="CO14" s="18" t="n">
        <f aca="false">IF(AND(LEN(CL14)&lt;&gt;0,LEN(CM14)&lt;&gt;0),((HOUR(CM14)*60)+MINUTE(CM14))-((HOUR(CL14)*60)+MINUTE(CL14)),"")</f>
        <v>29</v>
      </c>
      <c r="CP14" s="20" t="s">
        <v>29</v>
      </c>
      <c r="CQ14" s="20" t="n">
        <v>0.397916666666667</v>
      </c>
      <c r="CR14" s="20" t="n">
        <v>0.418055555555556</v>
      </c>
      <c r="CS14" s="1" t="str">
        <f aca="false">"[""" &amp; CP14 &amp; """, """ &amp; IF(CQ14="","",TEXT(CQ14,"h:mm")) &amp; """, """ &amp; IF(CR14="","",TEXT(CR14,"h:mm")) &amp; """],"</f>
        <v>["別府", "9:33", "10:02"],</v>
      </c>
      <c r="CT14" s="18" t="n">
        <f aca="false">IF(AND(LEN(CQ14)&lt;&gt;0,LEN(CR14)&lt;&gt;0),((HOUR(CR14)*60)+MINUTE(CR14))-((HOUR(CQ14)*60)+MINUTE(CQ14)),"")</f>
        <v>29</v>
      </c>
      <c r="CU14" s="19" t="s">
        <v>30</v>
      </c>
      <c r="CV14" s="19" t="n">
        <v>0.724305555555556</v>
      </c>
      <c r="CW14" s="19" t="n">
        <v>0.75625</v>
      </c>
      <c r="CX14" s="1" t="str">
        <f aca="false">"[""" &amp; CU14 &amp; """, """ &amp; IF(CV14="","",TEXT(CV14,"h:mm")) &amp; """, """ &amp; IF(CW14="","",TEXT(CW14,"h:mm")) &amp; """],"</f>
        <v>["菱浦", "17:23", "18:09"],</v>
      </c>
      <c r="CY14" s="18" t="n">
        <f aca="false">IF(AND(LEN(CV14)&lt;&gt;0,LEN(CW14)&lt;&gt;0),((HOUR(CW14)*60)+MINUTE(CW14))-((HOUR(CV14)*60)+MINUTE(CV14)),"")</f>
        <v>46</v>
      </c>
      <c r="CZ14" s="20" t="s">
        <v>29</v>
      </c>
      <c r="DA14" s="20" t="n">
        <v>0.525694444444445</v>
      </c>
      <c r="DB14" s="20" t="n">
        <v>0.534722222222222</v>
      </c>
      <c r="DC14" s="1" t="str">
        <f aca="false">"[""" &amp; CZ14 &amp; """, """ &amp; IF(DA14="","",TEXT(DA14,"h:mm")) &amp; """, """ &amp; IF(DB14="","",TEXT(DB14,"h:mm")) &amp; """],"</f>
        <v>["別府", "12:37", "12:50"],</v>
      </c>
      <c r="DD14" s="18" t="n">
        <f aca="false">IF(AND(LEN(DA14)&lt;&gt;0,LEN(DB14)&lt;&gt;0),((HOUR(DB14)*60)+MINUTE(DB14))-((HOUR(DA14)*60)+MINUTE(DA14)),"")</f>
        <v>13</v>
      </c>
      <c r="DE14" s="20" t="s">
        <v>29</v>
      </c>
      <c r="DF14" s="20" t="n">
        <v>0.525694444444445</v>
      </c>
      <c r="DG14" s="20" t="n">
        <v>0.534722222222222</v>
      </c>
      <c r="DH14" s="1" t="str">
        <f aca="false">"[""" &amp; DE14 &amp; """, """ &amp; IF(DF14="","",TEXT(DF14,"h:mm")) &amp; """, """ &amp; IF(DG14="","",TEXT(DG14,"h:mm")) &amp; """],"</f>
        <v>["別府", "12:37", "12:50"],</v>
      </c>
      <c r="DI14" s="18" t="n">
        <f aca="false">IF(AND(LEN(DF14)&lt;&gt;0,LEN(DG14)&lt;&gt;0),((HOUR(DG14)*60)+MINUTE(DG14))-((HOUR(DF14)*60)+MINUTE(DF14)),"")</f>
        <v>13</v>
      </c>
    </row>
    <row r="15" customFormat="false" ht="18" hidden="false" customHeight="false" outlineLevel="0" collapsed="false">
      <c r="E15" s="18"/>
      <c r="J15" s="18"/>
      <c r="O15" s="18"/>
      <c r="T15" s="18"/>
      <c r="Y15" s="18"/>
      <c r="AD15" s="18"/>
      <c r="AI15" s="18" t="str">
        <f aca="false">IF(AND(LEN(AF15)&lt;&gt;0,LEN(AG15)&lt;&gt;0),((HOUR(AG15)*60)+MINUTE(AG15))-((HOUR(AF15)*60)+MINUTE(AF15)),"")</f>
        <v/>
      </c>
      <c r="AN15" s="18" t="str">
        <f aca="false">IF(AND(LEN(AK15)&lt;&gt;0,LEN(AL15)&lt;&gt;0),((HOUR(AL15)*60)+MINUTE(AL15))-((HOUR(AK15)*60)+MINUTE(AK15)),"")</f>
        <v/>
      </c>
      <c r="AO15" s="26"/>
      <c r="AT15" s="18" t="str">
        <f aca="false">IF(AND(LEN(AQ15)&lt;&gt;0,LEN(AR15)&lt;&gt;0),((HOUR(AR15)*60)+MINUTE(AR15))-((HOUR(AQ15)*60)+MINUTE(AQ15)),"")</f>
        <v/>
      </c>
      <c r="AY15" s="18" t="str">
        <f aca="false">IF(AND(LEN(AV15)&lt;&gt;0,LEN(AW15)&lt;&gt;0),((HOUR(AW15)*60)+MINUTE(AW15))-((HOUR(AV15)*60)+MINUTE(AV15)),"")</f>
        <v/>
      </c>
      <c r="BC15" s="1" t="s">
        <v>33</v>
      </c>
      <c r="BD15" s="18" t="str">
        <f aca="false">IF(AND(LEN(BA15)&lt;&gt;0,LEN(BB15)&lt;&gt;0),((HOUR(BB15)*60)+MINUTE(BB15))-((HOUR(BA15)*60)+MINUTE(BA15)),"")</f>
        <v/>
      </c>
      <c r="BI15" s="18" t="str">
        <f aca="false">IF(AND(LEN(BF15)&lt;&gt;0,LEN(BG15)&lt;&gt;0),((HOUR(BG15)*60)+MINUTE(BG15))-((HOUR(BF15)*60)+MINUTE(BF15)),"")</f>
        <v/>
      </c>
      <c r="BN15" s="18" t="str">
        <f aca="false">IF(AND(LEN(BK15)&lt;&gt;0,LEN(BL15)&lt;&gt;0),((HOUR(BL15)*60)+MINUTE(BL15))-((HOUR(BK15)*60)+MINUTE(BK15)),"")</f>
        <v/>
      </c>
      <c r="BP15" s="27"/>
      <c r="BQ15" s="27"/>
      <c r="BR15" s="27"/>
      <c r="BT15" s="18" t="str">
        <f aca="false">IF(AND(LEN(BQ15)&lt;&gt;0,LEN(BR15)&lt;&gt;0),((HOUR(BR15)*60)+MINUTE(BR15))-((HOUR(BQ15)*60)+MINUTE(BQ15)),"")</f>
        <v/>
      </c>
      <c r="BY15" s="18" t="str">
        <f aca="false">IF(AND(LEN(BV15)&lt;&gt;0,LEN(BW15)&lt;&gt;0),((HOUR(BW15)*60)+MINUTE(BW15))-((HOUR(BV15)*60)+MINUTE(BV15)),"")</f>
        <v/>
      </c>
      <c r="BZ15" s="19" t="s">
        <v>30</v>
      </c>
      <c r="CA15" s="19" t="n">
        <v>0.532638888888889</v>
      </c>
      <c r="CB15" s="19" t="n">
        <v>0.538194444444444</v>
      </c>
      <c r="CC15" s="1" t="str">
        <f aca="false">"[""" &amp; BZ15 &amp; """, """ &amp; IF(CA15="","",TEXT(CA15,"h:mm")) &amp; """, """ &amp; IF(CB15="","",TEXT(CB15,"h:mm")) &amp; """],"</f>
        <v>["菱浦", "12:47", "12:55"],</v>
      </c>
      <c r="CD15" s="18" t="n">
        <f aca="false">IF(AND(LEN(CA15)&lt;&gt;0,LEN(CB15)&lt;&gt;0),((HOUR(CB15)*60)+MINUTE(CB15))-((HOUR(CA15)*60)+MINUTE(CA15)),"")</f>
        <v>8</v>
      </c>
      <c r="CE15" s="28"/>
      <c r="CF15" s="19" t="s">
        <v>30</v>
      </c>
      <c r="CG15" s="19" t="n">
        <v>0.557638888888889</v>
      </c>
      <c r="CH15" s="19" t="n">
        <v>0.559027777777778</v>
      </c>
      <c r="CI15" s="1" t="str">
        <f aca="false">"[""" &amp; CF15 &amp; """, """ &amp; IF(CG15="","",TEXT(CG15,"h:mm")) &amp; """, """ &amp; IF(CH15="","",TEXT(CH15,"h:mm")) &amp; """],"</f>
        <v>["菱浦", "13:23", "13:25"],</v>
      </c>
      <c r="CJ15" s="18" t="n">
        <f aca="false">IF(AND(LEN(CG15)&lt;&gt;0,LEN(CH15)&lt;&gt;0),((HOUR(CH15)*60)+MINUTE(CH15))-((HOUR(CG15)*60)+MINUTE(CG15)),"")</f>
        <v>2</v>
      </c>
      <c r="CK15" s="19" t="s">
        <v>30</v>
      </c>
      <c r="CL15" s="19" t="n">
        <v>0.422916666666667</v>
      </c>
      <c r="CM15" s="19" t="n">
        <v>0.424305555555556</v>
      </c>
      <c r="CN15" s="1" t="str">
        <f aca="false">"[""" &amp; CK15 &amp; """, """ &amp; IF(CL15="","",TEXT(CL15,"h:mm")) &amp; """, """ &amp; IF(CM15="","",TEXT(CM15,"h:mm")) &amp; """],"</f>
        <v>["菱浦", "10:09", "10:11"],</v>
      </c>
      <c r="CO15" s="18" t="n">
        <f aca="false">IF(AND(LEN(CL15)&lt;&gt;0,LEN(CM15)&lt;&gt;0),((HOUR(CM15)*60)+MINUTE(CM15))-((HOUR(CL15)*60)+MINUTE(CL15)),"")</f>
        <v>2</v>
      </c>
      <c r="CP15" s="19" t="s">
        <v>30</v>
      </c>
      <c r="CQ15" s="19" t="n">
        <v>0.422916666666667</v>
      </c>
      <c r="CR15" s="19" t="n">
        <v>0.424305555555556</v>
      </c>
      <c r="CS15" s="1" t="str">
        <f aca="false">"[""" &amp; CP15 &amp; """, """ &amp; IF(CQ15="","",TEXT(CQ15,"h:mm")) &amp; """, """ &amp; IF(CR15="","",TEXT(CR15,"h:mm")) &amp; """],"</f>
        <v>["菱浦", "10:09", "10:11"],</v>
      </c>
      <c r="CT15" s="18" t="n">
        <f aca="false">IF(AND(LEN(CQ15)&lt;&gt;0,LEN(CR15)&lt;&gt;0),((HOUR(CR15)*60)+MINUTE(CR15))-((HOUR(CQ15)*60)+MINUTE(CQ15)),"")</f>
        <v>2</v>
      </c>
      <c r="CU15" s="20" t="s">
        <v>29</v>
      </c>
      <c r="CV15" s="20" t="n">
        <v>0.761805555555556</v>
      </c>
      <c r="CX15" s="1" t="str">
        <f aca="false">"[""" &amp; CU15 &amp; """, """ &amp; IF(CV15="","",TEXT(CV15,"h:mm")) &amp; """, """ &amp; IF(CW15="","",TEXT(CW15,"h:mm")) &amp; """]"</f>
        <v>["別府", "18:17", ""]</v>
      </c>
      <c r="CY15" s="18" t="str">
        <f aca="false">IF(AND(LEN(CV15)&lt;&gt;0,LEN(CW15)&lt;&gt;0),((HOUR(CW15)*60)+MINUTE(CW15))-((HOUR(CV15)*60)+MINUTE(CV15)),"")</f>
        <v/>
      </c>
      <c r="CZ15" s="19" t="s">
        <v>30</v>
      </c>
      <c r="DA15" s="19" t="n">
        <v>0.540277777777778</v>
      </c>
      <c r="DB15" s="19" t="n">
        <v>0.55625</v>
      </c>
      <c r="DC15" s="1" t="str">
        <f aca="false">"[""" &amp; CZ15 &amp; """, """ &amp; IF(DA15="","",TEXT(DA15,"h:mm")) &amp; """, """ &amp; IF(DB15="","",TEXT(DB15,"h:mm")) &amp; """],"</f>
        <v>["菱浦", "12:58", "13:21"],</v>
      </c>
      <c r="DD15" s="18" t="n">
        <f aca="false">IF(AND(LEN(DA15)&lt;&gt;0,LEN(DB15)&lt;&gt;0),((HOUR(DB15)*60)+MINUTE(DB15))-((HOUR(DA15)*60)+MINUTE(DA15)),"")</f>
        <v>23</v>
      </c>
      <c r="DE15" s="19" t="s">
        <v>30</v>
      </c>
      <c r="DF15" s="19" t="n">
        <v>0.540277777777778</v>
      </c>
      <c r="DG15" s="19" t="n">
        <v>0.55625</v>
      </c>
      <c r="DH15" s="1" t="str">
        <f aca="false">"[""" &amp; DE15 &amp; """, """ &amp; IF(DF15="","",TEXT(DF15,"h:mm")) &amp; """, """ &amp; IF(DG15="","",TEXT(DG15,"h:mm")) &amp; """],"</f>
        <v>["菱浦", "12:58", "13:21"],</v>
      </c>
      <c r="DI15" s="18" t="n">
        <f aca="false">IF(AND(LEN(DF15)&lt;&gt;0,LEN(DG15)&lt;&gt;0),((HOUR(DG15)*60)+MINUTE(DG15))-((HOUR(DF15)*60)+MINUTE(DF15)),"")</f>
        <v>23</v>
      </c>
    </row>
    <row r="16" customFormat="false" ht="18" hidden="false" customHeight="false" outlineLevel="0" collapsed="false">
      <c r="E16" s="18"/>
      <c r="J16" s="18"/>
      <c r="O16" s="18"/>
      <c r="T16" s="18"/>
      <c r="Y16" s="18"/>
      <c r="AD16" s="18"/>
      <c r="AI16" s="18" t="str">
        <f aca="false">IF(AND(LEN(AF16)&lt;&gt;0,LEN(AG16)&lt;&gt;0),((HOUR(AG16)*60)+MINUTE(AG16))-((HOUR(AF16)*60)+MINUTE(AF16)),"")</f>
        <v/>
      </c>
      <c r="AN16" s="18" t="str">
        <f aca="false">IF(AND(LEN(AK16)&lt;&gt;0,LEN(AL16)&lt;&gt;0),((HOUR(AL16)*60)+MINUTE(AL16))-((HOUR(AK16)*60)+MINUTE(AK16)),"")</f>
        <v/>
      </c>
      <c r="AO16" s="26"/>
      <c r="AT16" s="18" t="str">
        <f aca="false">IF(AND(LEN(AQ16)&lt;&gt;0,LEN(AR16)&lt;&gt;0),((HOUR(AR16)*60)+MINUTE(AR16))-((HOUR(AQ16)*60)+MINUTE(AQ16)),"")</f>
        <v/>
      </c>
      <c r="AY16" s="18" t="str">
        <f aca="false">IF(AND(LEN(AV16)&lt;&gt;0,LEN(AW16)&lt;&gt;0),((HOUR(AW16)*60)+MINUTE(AW16))-((HOUR(AV16)*60)+MINUTE(AV16)),"")</f>
        <v/>
      </c>
      <c r="BD16" s="18" t="str">
        <f aca="false">IF(AND(LEN(BA16)&lt;&gt;0,LEN(BB16)&lt;&gt;0),((HOUR(BB16)*60)+MINUTE(BB16))-((HOUR(BA16)*60)+MINUTE(BA16)),"")</f>
        <v/>
      </c>
      <c r="BI16" s="18" t="str">
        <f aca="false">IF(AND(LEN(BF16)&lt;&gt;0,LEN(BG16)&lt;&gt;0),((HOUR(BG16)*60)+MINUTE(BG16))-((HOUR(BF16)*60)+MINUTE(BF16)),"")</f>
        <v/>
      </c>
      <c r="BN16" s="18" t="str">
        <f aca="false">IF(AND(LEN(BK16)&lt;&gt;0,LEN(BL16)&lt;&gt;0),((HOUR(BL16)*60)+MINUTE(BL16))-((HOUR(BK16)*60)+MINUTE(BK16)),"")</f>
        <v/>
      </c>
      <c r="BP16" s="27"/>
      <c r="BQ16" s="27"/>
      <c r="BR16" s="27"/>
      <c r="BT16" s="18" t="str">
        <f aca="false">IF(AND(LEN(BQ16)&lt;&gt;0,LEN(BR16)&lt;&gt;0),((HOUR(BR16)*60)+MINUTE(BR16))-((HOUR(BQ16)*60)+MINUTE(BQ16)),"")</f>
        <v/>
      </c>
      <c r="BY16" s="18" t="str">
        <f aca="false">IF(AND(LEN(BV16)&lt;&gt;0,LEN(BW16)&lt;&gt;0),((HOUR(BW16)*60)+MINUTE(BW16))-((HOUR(BV16)*60)+MINUTE(BV16)),"")</f>
        <v/>
      </c>
      <c r="BZ16" s="20" t="s">
        <v>29</v>
      </c>
      <c r="CA16" s="20" t="n">
        <v>0.548611111111111</v>
      </c>
      <c r="CB16" s="20" t="n">
        <v>0.555555555555556</v>
      </c>
      <c r="CC16" s="1" t="str">
        <f aca="false">"[""" &amp; BZ16 &amp; """, """ &amp; IF(CA16="","",TEXT(CA16,"h:mm")) &amp; """, """ &amp; IF(CB16="","",TEXT(CB16,"h:mm")) &amp; """],"</f>
        <v>["別府", "13:10", "13:20"],</v>
      </c>
      <c r="CD16" s="18" t="n">
        <f aca="false">IF(AND(LEN(CA16)&lt;&gt;0,LEN(CB16)&lt;&gt;0),((HOUR(CB16)*60)+MINUTE(CB16))-((HOUR(CA16)*60)+MINUTE(CA16)),"")</f>
        <v>10</v>
      </c>
      <c r="CE16" s="28"/>
      <c r="CF16" s="20" t="s">
        <v>29</v>
      </c>
      <c r="CG16" s="20" t="n">
        <v>0.564583333333333</v>
      </c>
      <c r="CH16" s="20" t="n">
        <v>0.572916666666667</v>
      </c>
      <c r="CI16" s="1" t="str">
        <f aca="false">"[""" &amp; CF16 &amp; """, """ &amp; IF(CG16="","",TEXT(CG16,"h:mm")) &amp; """, """ &amp; IF(CH16="","",TEXT(CH16,"h:mm")) &amp; """],"</f>
        <v>["別府", "13:33", "13:45"],</v>
      </c>
      <c r="CJ16" s="18" t="n">
        <f aca="false">IF(AND(LEN(CG16)&lt;&gt;0,LEN(CH16)&lt;&gt;0),((HOUR(CH16)*60)+MINUTE(CH16))-((HOUR(CG16)*60)+MINUTE(CG16)),"")</f>
        <v>12</v>
      </c>
      <c r="CK16" s="21" t="s">
        <v>31</v>
      </c>
      <c r="CL16" s="22" t="n">
        <v>0.436805555555556</v>
      </c>
      <c r="CM16" s="22" t="n">
        <v>0.438194444444445</v>
      </c>
      <c r="CN16" s="1" t="str">
        <f aca="false">"[""" &amp; CK16 &amp; """, """ &amp; IF(CL16="","",TEXT(CL16,"h:mm")) &amp; """, """ &amp; IF(CM16="","",TEXT(CM16,"h:mm")) &amp; """],"</f>
        <v>["来居", "10:29", "10:31"],</v>
      </c>
      <c r="CO16" s="18" t="n">
        <f aca="false">IF(AND(LEN(CL16)&lt;&gt;0,LEN(CM16)&lt;&gt;0),((HOUR(CM16)*60)+MINUTE(CM16))-((HOUR(CL16)*60)+MINUTE(CL16)),"")</f>
        <v>2</v>
      </c>
      <c r="CP16" s="21" t="s">
        <v>31</v>
      </c>
      <c r="CQ16" s="22" t="n">
        <v>0.436805555555556</v>
      </c>
      <c r="CR16" s="22" t="n">
        <v>0.438194444444445</v>
      </c>
      <c r="CS16" s="1" t="str">
        <f aca="false">"[""" &amp; CP16 &amp; """, """ &amp; IF(CQ16="","",TEXT(CQ16,"h:mm")) &amp; """, """ &amp; IF(CR16="","",TEXT(CR16,"h:mm")) &amp; """],"</f>
        <v>["来居", "10:29", "10:31"],</v>
      </c>
      <c r="CT16" s="18" t="n">
        <f aca="false">IF(AND(LEN(CQ16)&lt;&gt;0,LEN(CR16)&lt;&gt;0),((HOUR(CR16)*60)+MINUTE(CR16))-((HOUR(CQ16)*60)+MINUTE(CQ16)),"")</f>
        <v>2</v>
      </c>
      <c r="CX16" s="1" t="s">
        <v>33</v>
      </c>
      <c r="CY16" s="18" t="str">
        <f aca="false">IF(AND(LEN(CV16)&lt;&gt;0,LEN(CW16)&lt;&gt;0),((HOUR(CW16)*60)+MINUTE(CW16))-((HOUR(CV16)*60)+MINUTE(CV16)),"")</f>
        <v/>
      </c>
      <c r="CZ16" s="20" t="s">
        <v>29</v>
      </c>
      <c r="DA16" s="20" t="n">
        <v>0.561111111111111</v>
      </c>
      <c r="DB16" s="20" t="n">
        <v>0.590277777777778</v>
      </c>
      <c r="DC16" s="1" t="str">
        <f aca="false">"[""" &amp; CZ16 &amp; """, """ &amp; IF(DA16="","",TEXT(DA16,"h:mm")) &amp; """, """ &amp; IF(DB16="","",TEXT(DB16,"h:mm")) &amp; """],"</f>
        <v>["別府", "13:28", "14:10"],</v>
      </c>
      <c r="DD16" s="18" t="n">
        <f aca="false">IF(AND(LEN(DA16)&lt;&gt;0,LEN(DB16)&lt;&gt;0),((HOUR(DB16)*60)+MINUTE(DB16))-((HOUR(DA16)*60)+MINUTE(DA16)),"")</f>
        <v>42</v>
      </c>
      <c r="DE16" s="20" t="s">
        <v>29</v>
      </c>
      <c r="DF16" s="20" t="n">
        <v>0.561111111111111</v>
      </c>
      <c r="DG16" s="20" t="n">
        <v>0.590277777777778</v>
      </c>
      <c r="DH16" s="1" t="str">
        <f aca="false">"[""" &amp; DE16 &amp; """, """ &amp; IF(DF16="","",TEXT(DF16,"h:mm")) &amp; """, """ &amp; IF(DG16="","",TEXT(DG16,"h:mm")) &amp; """],"</f>
        <v>["別府", "13:28", "14:10"],</v>
      </c>
      <c r="DI16" s="18" t="n">
        <f aca="false">IF(AND(LEN(DF16)&lt;&gt;0,LEN(DG16)&lt;&gt;0),((HOUR(DG16)*60)+MINUTE(DG16))-((HOUR(DF16)*60)+MINUTE(DF16)),"")</f>
        <v>42</v>
      </c>
    </row>
    <row r="17" customFormat="false" ht="18" hidden="false" customHeight="false" outlineLevel="0" collapsed="false">
      <c r="E17" s="18"/>
      <c r="J17" s="18"/>
      <c r="O17" s="18"/>
      <c r="T17" s="18"/>
      <c r="Y17" s="18"/>
      <c r="AD17" s="18"/>
      <c r="AI17" s="18" t="str">
        <f aca="false">IF(AND(LEN(AF17)&lt;&gt;0,LEN(AG17)&lt;&gt;0),((HOUR(AG17)*60)+MINUTE(AG17))-((HOUR(AF17)*60)+MINUTE(AF17)),"")</f>
        <v/>
      </c>
      <c r="AN17" s="18" t="str">
        <f aca="false">IF(AND(LEN(AK17)&lt;&gt;0,LEN(AL17)&lt;&gt;0),((HOUR(AL17)*60)+MINUTE(AL17))-((HOUR(AK17)*60)+MINUTE(AK17)),"")</f>
        <v/>
      </c>
      <c r="AO17" s="26"/>
      <c r="AT17" s="18" t="str">
        <f aca="false">IF(AND(LEN(AQ17)&lt;&gt;0,LEN(AR17)&lt;&gt;0),((HOUR(AR17)*60)+MINUTE(AR17))-((HOUR(AQ17)*60)+MINUTE(AQ17)),"")</f>
        <v/>
      </c>
      <c r="AY17" s="18" t="str">
        <f aca="false">IF(AND(LEN(AV17)&lt;&gt;0,LEN(AW17)&lt;&gt;0),((HOUR(AW17)*60)+MINUTE(AW17))-((HOUR(AV17)*60)+MINUTE(AV17)),"")</f>
        <v/>
      </c>
      <c r="BD17" s="18" t="str">
        <f aca="false">IF(AND(LEN(BA17)&lt;&gt;0,LEN(BB17)&lt;&gt;0),((HOUR(BB17)*60)+MINUTE(BB17))-((HOUR(BA17)*60)+MINUTE(BA17)),"")</f>
        <v/>
      </c>
      <c r="BI17" s="18" t="str">
        <f aca="false">IF(AND(LEN(BF17)&lt;&gt;0,LEN(BG17)&lt;&gt;0),((HOUR(BG17)*60)+MINUTE(BG17))-((HOUR(BF17)*60)+MINUTE(BF17)),"")</f>
        <v/>
      </c>
      <c r="BN17" s="18" t="str">
        <f aca="false">IF(AND(LEN(BK17)&lt;&gt;0,LEN(BL17)&lt;&gt;0),((HOUR(BL17)*60)+MINUTE(BL17))-((HOUR(BK17)*60)+MINUTE(BK17)),"")</f>
        <v/>
      </c>
      <c r="BP17" s="27"/>
      <c r="BQ17" s="27"/>
      <c r="BR17" s="27"/>
      <c r="BT17" s="18" t="str">
        <f aca="false">IF(AND(LEN(BQ17)&lt;&gt;0,LEN(BR17)&lt;&gt;0),((HOUR(BR17)*60)+MINUTE(BR17))-((HOUR(BQ17)*60)+MINUTE(BQ17)),"")</f>
        <v/>
      </c>
      <c r="BY17" s="18" t="str">
        <f aca="false">IF(AND(LEN(BV17)&lt;&gt;0,LEN(BW17)&lt;&gt;0),((HOUR(BW17)*60)+MINUTE(BW17))-((HOUR(BV17)*60)+MINUTE(BV17)),"")</f>
        <v/>
      </c>
      <c r="BZ17" s="19" t="s">
        <v>30</v>
      </c>
      <c r="CA17" s="19" t="n">
        <v>0.563888888888889</v>
      </c>
      <c r="CB17" s="19" t="n">
        <v>0.583333333333333</v>
      </c>
      <c r="CC17" s="1" t="str">
        <f aca="false">"[""" &amp; BZ17 &amp; """, """ &amp; IF(CA17="","",TEXT(CA17,"h:mm")) &amp; """, """ &amp; IF(CB17="","",TEXT(CB17,"h:mm")) &amp; """],"</f>
        <v>["菱浦", "13:32", "14:00"],</v>
      </c>
      <c r="CD17" s="18" t="n">
        <f aca="false">IF(AND(LEN(CA17)&lt;&gt;0,LEN(CB17)&lt;&gt;0),((HOUR(CB17)*60)+MINUTE(CB17))-((HOUR(CA17)*60)+MINUTE(CA17)),"")</f>
        <v>28</v>
      </c>
      <c r="CE17" s="28"/>
      <c r="CF17" s="21" t="s">
        <v>31</v>
      </c>
      <c r="CG17" s="22" t="n">
        <v>0.585416666666667</v>
      </c>
      <c r="CH17" s="22" t="n">
        <v>0.625</v>
      </c>
      <c r="CI17" s="1" t="str">
        <f aca="false">"[""" &amp; CF17 &amp; """, """ &amp; IF(CG17="","",TEXT(CG17,"h:mm")) &amp; """, """ &amp; IF(CH17="","",TEXT(CH17,"h:mm")) &amp; """],"</f>
        <v>["来居", "14:03", "15:00"],</v>
      </c>
      <c r="CJ17" s="18" t="n">
        <f aca="false">IF(AND(LEN(CG17)&lt;&gt;0,LEN(CH17)&lt;&gt;0),((HOUR(CH17)*60)+MINUTE(CH17))-((HOUR(CG17)*60)+MINUTE(CG17)),"")</f>
        <v>57</v>
      </c>
      <c r="CK17" s="19" t="s">
        <v>30</v>
      </c>
      <c r="CL17" s="19" t="n">
        <v>0.450694444444444</v>
      </c>
      <c r="CM17" s="19" t="n">
        <v>0.452083333333333</v>
      </c>
      <c r="CN17" s="1" t="str">
        <f aca="false">"[""" &amp; CK17 &amp; """, """ &amp; IF(CL17="","",TEXT(CL17,"h:mm")) &amp; """, """ &amp; IF(CM17="","",TEXT(CM17,"h:mm")) &amp; """],"</f>
        <v>["菱浦", "10:49", "10:51"],</v>
      </c>
      <c r="CO17" s="18" t="n">
        <f aca="false">IF(AND(LEN(CL17)&lt;&gt;0,LEN(CM17)&lt;&gt;0),((HOUR(CM17)*60)+MINUTE(CM17))-((HOUR(CL17)*60)+MINUTE(CL17)),"")</f>
        <v>2</v>
      </c>
      <c r="CP17" s="19" t="s">
        <v>30</v>
      </c>
      <c r="CQ17" s="19" t="n">
        <v>0.450694444444444</v>
      </c>
      <c r="CR17" s="19" t="n">
        <v>0.452083333333333</v>
      </c>
      <c r="CS17" s="1" t="str">
        <f aca="false">"[""" &amp; CP17 &amp; """, """ &amp; IF(CQ17="","",TEXT(CQ17,"h:mm")) &amp; """, """ &amp; IF(CR17="","",TEXT(CR17,"h:mm")) &amp; """],"</f>
        <v>["菱浦", "10:49", "10:51"],</v>
      </c>
      <c r="CT17" s="18" t="n">
        <f aca="false">IF(AND(LEN(CQ17)&lt;&gt;0,LEN(CR17)&lt;&gt;0),((HOUR(CR17)*60)+MINUTE(CR17))-((HOUR(CQ17)*60)+MINUTE(CQ17)),"")</f>
        <v>2</v>
      </c>
      <c r="CY17" s="18"/>
      <c r="CZ17" s="19" t="s">
        <v>30</v>
      </c>
      <c r="DA17" s="19" t="n">
        <v>0.595138888888889</v>
      </c>
      <c r="DB17" s="19" t="n">
        <v>0.596527777777778</v>
      </c>
      <c r="DC17" s="1" t="str">
        <f aca="false">"[""" &amp; CZ17 &amp; """, """ &amp; IF(DA17="","",TEXT(DA17,"h:mm")) &amp; """, """ &amp; IF(DB17="","",TEXT(DB17,"h:mm")) &amp; """],"</f>
        <v>["菱浦", "14:17", "14:19"],</v>
      </c>
      <c r="DD17" s="18" t="n">
        <f aca="false">IF(AND(LEN(DA17)&lt;&gt;0,LEN(DB17)&lt;&gt;0),((HOUR(DB17)*60)+MINUTE(DB17))-((HOUR(DA17)*60)+MINUTE(DA17)),"")</f>
        <v>2</v>
      </c>
      <c r="DE17" s="19" t="s">
        <v>30</v>
      </c>
      <c r="DF17" s="19" t="n">
        <v>0.595138888888889</v>
      </c>
      <c r="DG17" s="19" t="n">
        <v>0.596527777777778</v>
      </c>
      <c r="DH17" s="1" t="str">
        <f aca="false">"[""" &amp; DE17 &amp; """, """ &amp; IF(DF17="","",TEXT(DF17,"h:mm")) &amp; """, """ &amp; IF(DG17="","",TEXT(DG17,"h:mm")) &amp; """],"</f>
        <v>["菱浦", "14:17", "14:19"],</v>
      </c>
      <c r="DI17" s="18" t="n">
        <f aca="false">IF(AND(LEN(DF17)&lt;&gt;0,LEN(DG17)&lt;&gt;0),((HOUR(DG17)*60)+MINUTE(DG17))-((HOUR(DF17)*60)+MINUTE(DF17)),"")</f>
        <v>2</v>
      </c>
    </row>
    <row r="18" customFormat="false" ht="18" hidden="false" customHeight="false" outlineLevel="0" collapsed="false">
      <c r="E18" s="18"/>
      <c r="J18" s="18"/>
      <c r="O18" s="18"/>
      <c r="T18" s="18"/>
      <c r="Y18" s="18"/>
      <c r="AD18" s="18"/>
      <c r="AI18" s="18" t="str">
        <f aca="false">IF(AND(LEN(AF18)&lt;&gt;0,LEN(AG18)&lt;&gt;0),((HOUR(AG18)*60)+MINUTE(AG18))-((HOUR(AF18)*60)+MINUTE(AF18)),"")</f>
        <v/>
      </c>
      <c r="AN18" s="18" t="str">
        <f aca="false">IF(AND(LEN(AK18)&lt;&gt;0,LEN(AL18)&lt;&gt;0),((HOUR(AL18)*60)+MINUTE(AL18))-((HOUR(AK18)*60)+MINUTE(AK18)),"")</f>
        <v/>
      </c>
      <c r="AO18" s="26"/>
      <c r="AT18" s="18" t="str">
        <f aca="false">IF(AND(LEN(AQ18)&lt;&gt;0,LEN(AR18)&lt;&gt;0),((HOUR(AR18)*60)+MINUTE(AR18))-((HOUR(AQ18)*60)+MINUTE(AQ18)),"")</f>
        <v/>
      </c>
      <c r="AY18" s="18" t="str">
        <f aca="false">IF(AND(LEN(AV18)&lt;&gt;0,LEN(AW18)&lt;&gt;0),((HOUR(AW18)*60)+MINUTE(AW18))-((HOUR(AV18)*60)+MINUTE(AV18)),"")</f>
        <v/>
      </c>
      <c r="BD18" s="18" t="str">
        <f aca="false">IF(AND(LEN(BA18)&lt;&gt;0,LEN(BB18)&lt;&gt;0),((HOUR(BB18)*60)+MINUTE(BB18))-((HOUR(BA18)*60)+MINUTE(BA18)),"")</f>
        <v/>
      </c>
      <c r="BI18" s="18" t="str">
        <f aca="false">IF(AND(LEN(BF18)&lt;&gt;0,LEN(BG18)&lt;&gt;0),((HOUR(BG18)*60)+MINUTE(BG18))-((HOUR(BF18)*60)+MINUTE(BF18)),"")</f>
        <v/>
      </c>
      <c r="BN18" s="18" t="str">
        <f aca="false">IF(AND(LEN(BK18)&lt;&gt;0,LEN(BL18)&lt;&gt;0),((HOUR(BL18)*60)+MINUTE(BL18))-((HOUR(BK18)*60)+MINUTE(BK18)),"")</f>
        <v/>
      </c>
      <c r="BP18" s="27"/>
      <c r="BQ18" s="27"/>
      <c r="BR18" s="27"/>
      <c r="BT18" s="18" t="str">
        <f aca="false">IF(AND(LEN(BQ18)&lt;&gt;0,LEN(BR18)&lt;&gt;0),((HOUR(BR18)*60)+MINUTE(BR18))-((HOUR(BQ18)*60)+MINUTE(BQ18)),"")</f>
        <v/>
      </c>
      <c r="BY18" s="18" t="str">
        <f aca="false">IF(AND(LEN(BV18)&lt;&gt;0,LEN(BW18)&lt;&gt;0),((HOUR(BW18)*60)+MINUTE(BW18))-((HOUR(BV18)*60)+MINUTE(BV18)),"")</f>
        <v/>
      </c>
      <c r="BZ18" s="20" t="s">
        <v>29</v>
      </c>
      <c r="CA18" s="20" t="n">
        <v>0.59375</v>
      </c>
      <c r="CB18" s="20" t="n">
        <v>0.611111111111111</v>
      </c>
      <c r="CC18" s="1" t="str">
        <f aca="false">"[""" &amp; BZ18 &amp; """, """ &amp; IF(CA18="","",TEXT(CA18,"h:mm")) &amp; """, """ &amp; IF(CB18="","",TEXT(CB18,"h:mm")) &amp; """],"</f>
        <v>["別府", "14:15", "14:40"],</v>
      </c>
      <c r="CD18" s="18" t="n">
        <f aca="false">IF(AND(LEN(CA18)&lt;&gt;0,LEN(CB18)&lt;&gt;0),((HOUR(CB18)*60)+MINUTE(CB18))-((HOUR(CA18)*60)+MINUTE(CA18)),"")</f>
        <v>25</v>
      </c>
      <c r="CE18" s="28"/>
      <c r="CF18" s="20" t="s">
        <v>29</v>
      </c>
      <c r="CG18" s="20" t="n">
        <v>0.638194444444444</v>
      </c>
      <c r="CH18" s="20" t="n">
        <v>0.71875</v>
      </c>
      <c r="CI18" s="1" t="str">
        <f aca="false">"[""" &amp; CF18 &amp; """, """ &amp; IF(CG18="","",TEXT(CG18,"h:mm")) &amp; """, """ &amp; IF(CH18="","",TEXT(CH18,"h:mm")) &amp; """],"</f>
        <v>["別府", "15:19", "17:15"],</v>
      </c>
      <c r="CJ18" s="18" t="n">
        <f aca="false">IF(AND(LEN(CG18)&lt;&gt;0,LEN(CH18)&lt;&gt;0),((HOUR(CH18)*60)+MINUTE(CH18))-((HOUR(CG18)*60)+MINUTE(CG18)),"")</f>
        <v>116</v>
      </c>
      <c r="CK18" s="20" t="s">
        <v>29</v>
      </c>
      <c r="CL18" s="20" t="n">
        <v>0.456944444444444</v>
      </c>
      <c r="CM18" s="20" t="n">
        <v>0.49375</v>
      </c>
      <c r="CN18" s="1" t="str">
        <f aca="false">"[""" &amp; CK18 &amp; """, """ &amp; IF(CL18="","",TEXT(CL18,"h:mm")) &amp; """, """ &amp; IF(CM18="","",TEXT(CM18,"h:mm")) &amp; """],"</f>
        <v>["別府", "10:58", "11:51"],</v>
      </c>
      <c r="CO18" s="18" t="n">
        <f aca="false">IF(AND(LEN(CL18)&lt;&gt;0,LEN(CM18)&lt;&gt;0),((HOUR(CM18)*60)+MINUTE(CM18))-((HOUR(CL18)*60)+MINUTE(CL18)),"")</f>
        <v>53</v>
      </c>
      <c r="CP18" s="20" t="s">
        <v>29</v>
      </c>
      <c r="CQ18" s="20" t="n">
        <v>0.456944444444444</v>
      </c>
      <c r="CR18" s="20" t="n">
        <v>0.49375</v>
      </c>
      <c r="CS18" s="1" t="str">
        <f aca="false">"[""" &amp; CP18 &amp; """, """ &amp; IF(CQ18="","",TEXT(CQ18,"h:mm")) &amp; """, """ &amp; IF(CR18="","",TEXT(CR18,"h:mm")) &amp; """],"</f>
        <v>["別府", "10:58", "11:51"],</v>
      </c>
      <c r="CT18" s="18" t="n">
        <f aca="false">IF(AND(LEN(CQ18)&lt;&gt;0,LEN(CR18)&lt;&gt;0),((HOUR(CR18)*60)+MINUTE(CR18))-((HOUR(CQ18)*60)+MINUTE(CQ18)),"")</f>
        <v>53</v>
      </c>
      <c r="CY18" s="18"/>
      <c r="CZ18" s="20" t="s">
        <v>29</v>
      </c>
      <c r="DA18" s="20" t="n">
        <v>0.601388888888889</v>
      </c>
      <c r="DB18" s="20" t="n">
        <v>0.645833333333333</v>
      </c>
      <c r="DC18" s="1" t="str">
        <f aca="false">"[""" &amp; CZ18 &amp; """, """ &amp; IF(DA18="","",TEXT(DA18,"h:mm")) &amp; """, """ &amp; IF(DB18="","",TEXT(DB18,"h:mm")) &amp; """],"</f>
        <v>["別府", "14:26", "15:30"],</v>
      </c>
      <c r="DD18" s="18" t="n">
        <f aca="false">IF(AND(LEN(DA18)&lt;&gt;0,LEN(DB18)&lt;&gt;0),((HOUR(DB18)*60)+MINUTE(DB18))-((HOUR(DA18)*60)+MINUTE(DA18)),"")</f>
        <v>64</v>
      </c>
      <c r="DE18" s="20" t="s">
        <v>29</v>
      </c>
      <c r="DF18" s="20" t="n">
        <v>0.601388888888889</v>
      </c>
      <c r="DG18" s="20" t="n">
        <v>0.645833333333333</v>
      </c>
      <c r="DH18" s="1" t="str">
        <f aca="false">"[""" &amp; DE18 &amp; """, """ &amp; IF(DF18="","",TEXT(DF18,"h:mm")) &amp; """, """ &amp; IF(DG18="","",TEXT(DG18,"h:mm")) &amp; """],"</f>
        <v>["別府", "14:26", "15:30"],</v>
      </c>
      <c r="DI18" s="18" t="n">
        <f aca="false">IF(AND(LEN(DF18)&lt;&gt;0,LEN(DG18)&lt;&gt;0),((HOUR(DG18)*60)+MINUTE(DG18))-((HOUR(DF18)*60)+MINUTE(DF18)),"")</f>
        <v>64</v>
      </c>
    </row>
    <row r="19" customFormat="false" ht="18" hidden="false" customHeight="false" outlineLevel="0" collapsed="false">
      <c r="E19" s="18"/>
      <c r="J19" s="18"/>
      <c r="O19" s="18"/>
      <c r="T19" s="18"/>
      <c r="Y19" s="18"/>
      <c r="AD19" s="18"/>
      <c r="AI19" s="18" t="str">
        <f aca="false">IF(AND(LEN(AF19)&lt;&gt;0,LEN(AG19)&lt;&gt;0),((HOUR(AG19)*60)+MINUTE(AG19))-((HOUR(AF19)*60)+MINUTE(AF19)),"")</f>
        <v/>
      </c>
      <c r="AN19" s="18" t="str">
        <f aca="false">IF(AND(LEN(AK19)&lt;&gt;0,LEN(AL19)&lt;&gt;0),((HOUR(AL19)*60)+MINUTE(AL19))-((HOUR(AK19)*60)+MINUTE(AK19)),"")</f>
        <v/>
      </c>
      <c r="AO19" s="26"/>
      <c r="AT19" s="18" t="str">
        <f aca="false">IF(AND(LEN(AQ19)&lt;&gt;0,LEN(AR19)&lt;&gt;0),((HOUR(AR19)*60)+MINUTE(AR19))-((HOUR(AQ19)*60)+MINUTE(AQ19)),"")</f>
        <v/>
      </c>
      <c r="AY19" s="18" t="str">
        <f aca="false">IF(AND(LEN(AV19)&lt;&gt;0,LEN(AW19)&lt;&gt;0),((HOUR(AW19)*60)+MINUTE(AW19))-((HOUR(AV19)*60)+MINUTE(AV19)),"")</f>
        <v/>
      </c>
      <c r="BD19" s="18" t="str">
        <f aca="false">IF(AND(LEN(BA19)&lt;&gt;0,LEN(BB19)&lt;&gt;0),((HOUR(BB19)*60)+MINUTE(BB19))-((HOUR(BA19)*60)+MINUTE(BA19)),"")</f>
        <v/>
      </c>
      <c r="BI19" s="18" t="str">
        <f aca="false">IF(AND(LEN(BF19)&lt;&gt;0,LEN(BG19)&lt;&gt;0),((HOUR(BG19)*60)+MINUTE(BG19))-((HOUR(BF19)*60)+MINUTE(BF19)),"")</f>
        <v/>
      </c>
      <c r="BN19" s="18" t="str">
        <f aca="false">IF(AND(LEN(BK19)&lt;&gt;0,LEN(BL19)&lt;&gt;0),((HOUR(BL19)*60)+MINUTE(BL19))-((HOUR(BK19)*60)+MINUTE(BK19)),"")</f>
        <v/>
      </c>
      <c r="BP19" s="27"/>
      <c r="BQ19" s="27"/>
      <c r="BR19" s="27"/>
      <c r="BT19" s="18" t="str">
        <f aca="false">IF(AND(LEN(BQ19)&lt;&gt;0,LEN(BR19)&lt;&gt;0),((HOUR(BR19)*60)+MINUTE(BR19))-((HOUR(BQ19)*60)+MINUTE(BQ19)),"")</f>
        <v/>
      </c>
      <c r="BY19" s="18" t="str">
        <f aca="false">IF(AND(LEN(BV19)&lt;&gt;0,LEN(BW19)&lt;&gt;0),((HOUR(BW19)*60)+MINUTE(BW19))-((HOUR(BV19)*60)+MINUTE(BV19)),"")</f>
        <v/>
      </c>
      <c r="BZ19" s="19" t="s">
        <v>30</v>
      </c>
      <c r="CA19" s="19" t="n">
        <v>0.619444444444445</v>
      </c>
      <c r="CB19" s="19" t="n">
        <v>0.625</v>
      </c>
      <c r="CC19" s="1" t="str">
        <f aca="false">"[""" &amp; BZ19 &amp; """, """ &amp; IF(CA19="","",TEXT(CA19,"h:mm")) &amp; """, """ &amp; IF(CB19="","",TEXT(CB19,"h:mm")) &amp; """],"</f>
        <v>["菱浦", "14:52", "15:00"],</v>
      </c>
      <c r="CD19" s="18" t="n">
        <f aca="false">IF(AND(LEN(CA19)&lt;&gt;0,LEN(CB19)&lt;&gt;0),((HOUR(CB19)*60)+MINUTE(CB19))-((HOUR(CA19)*60)+MINUTE(CA19)),"")</f>
        <v>8</v>
      </c>
      <c r="CE19" s="28"/>
      <c r="CF19" s="19" t="s">
        <v>30</v>
      </c>
      <c r="CG19" s="19" t="n">
        <v>0.724305555555556</v>
      </c>
      <c r="CH19" s="19" t="n">
        <v>0.725694444444445</v>
      </c>
      <c r="CI19" s="1" t="str">
        <f aca="false">"[""" &amp; CF19 &amp; """, """ &amp; IF(CG19="","",TEXT(CG19,"h:mm")) &amp; """, """ &amp; IF(CH19="","",TEXT(CH19,"h:mm")) &amp; """],"</f>
        <v>["菱浦", "17:23", "17:25"],</v>
      </c>
      <c r="CJ19" s="18" t="n">
        <f aca="false">IF(AND(LEN(CG19)&lt;&gt;0,LEN(CH19)&lt;&gt;0),((HOUR(CH19)*60)+MINUTE(CH19))-((HOUR(CG19)*60)+MINUTE(CG19)),"")</f>
        <v>2</v>
      </c>
      <c r="CK19" s="21" t="s">
        <v>31</v>
      </c>
      <c r="CL19" s="22" t="n">
        <v>0.505555555555556</v>
      </c>
      <c r="CM19" s="22" t="n">
        <v>0.506944444444444</v>
      </c>
      <c r="CN19" s="1" t="str">
        <f aca="false">"[""" &amp; CK19 &amp; """, """ &amp; IF(CL19="","",TEXT(CL19,"h:mm")) &amp; """, """ &amp; IF(CM19="","",TEXT(CM19,"h:mm")) &amp; """],"</f>
        <v>["来居", "12:08", "12:10"],</v>
      </c>
      <c r="CO19" s="18" t="n">
        <f aca="false">IF(AND(LEN(CL19)&lt;&gt;0,LEN(CM19)&lt;&gt;0),((HOUR(CM19)*60)+MINUTE(CM19))-((HOUR(CL19)*60)+MINUTE(CL19)),"")</f>
        <v>2</v>
      </c>
      <c r="CP19" s="21" t="s">
        <v>31</v>
      </c>
      <c r="CQ19" s="22" t="n">
        <v>0.505555555555556</v>
      </c>
      <c r="CR19" s="22" t="n">
        <v>0.506944444444444</v>
      </c>
      <c r="CS19" s="1" t="str">
        <f aca="false">"[""" &amp; CP19 &amp; """, """ &amp; IF(CQ19="","",TEXT(CQ19,"h:mm")) &amp; """, """ &amp; IF(CR19="","",TEXT(CR19,"h:mm")) &amp; """],"</f>
        <v>["来居", "12:08", "12:10"],</v>
      </c>
      <c r="CT19" s="18" t="n">
        <f aca="false">IF(AND(LEN(CQ19)&lt;&gt;0,LEN(CR19)&lt;&gt;0),((HOUR(CR19)*60)+MINUTE(CR19))-((HOUR(CQ19)*60)+MINUTE(CQ19)),"")</f>
        <v>2</v>
      </c>
      <c r="CY19" s="18"/>
      <c r="CZ19" s="19" t="s">
        <v>30</v>
      </c>
      <c r="DA19" s="19" t="n">
        <v>0.650694444444445</v>
      </c>
      <c r="DB19" s="19" t="n">
        <v>0.652777777777778</v>
      </c>
      <c r="DC19" s="1" t="str">
        <f aca="false">"[""" &amp; CZ19 &amp; """, """ &amp; IF(DA19="","",TEXT(DA19,"h:mm")) &amp; """, """ &amp; IF(DB19="","",TEXT(DB19,"h:mm")) &amp; """],"</f>
        <v>["菱浦", "15:37", "15:40"],</v>
      </c>
      <c r="DD19" s="18" t="n">
        <f aca="false">IF(AND(LEN(DA19)&lt;&gt;0,LEN(DB19)&lt;&gt;0),((HOUR(DB19)*60)+MINUTE(DB19))-((HOUR(DA19)*60)+MINUTE(DA19)),"")</f>
        <v>3</v>
      </c>
      <c r="DE19" s="19" t="s">
        <v>30</v>
      </c>
      <c r="DF19" s="19" t="n">
        <v>0.650694444444445</v>
      </c>
      <c r="DG19" s="19" t="n">
        <v>0.652777777777778</v>
      </c>
      <c r="DH19" s="1" t="str">
        <f aca="false">"[""" &amp; DE19 &amp; """, """ &amp; IF(DF19="","",TEXT(DF19,"h:mm")) &amp; """, """ &amp; IF(DG19="","",TEXT(DG19,"h:mm")) &amp; """],"</f>
        <v>["菱浦", "15:37", "15:40"],</v>
      </c>
      <c r="DI19" s="18" t="n">
        <f aca="false">IF(AND(LEN(DF19)&lt;&gt;0,LEN(DG19)&lt;&gt;0),((HOUR(DG19)*60)+MINUTE(DG19))-((HOUR(DF19)*60)+MINUTE(DF19)),"")</f>
        <v>3</v>
      </c>
    </row>
    <row r="20" customFormat="false" ht="18" hidden="false" customHeight="false" outlineLevel="0" collapsed="false">
      <c r="E20" s="18"/>
      <c r="J20" s="18"/>
      <c r="O20" s="18"/>
      <c r="T20" s="18"/>
      <c r="Y20" s="18"/>
      <c r="AD20" s="18"/>
      <c r="AI20" s="18" t="str">
        <f aca="false">IF(AND(LEN(AF20)&lt;&gt;0,LEN(AG20)&lt;&gt;0),((HOUR(AG20)*60)+MINUTE(AG20))-((HOUR(AF20)*60)+MINUTE(AF20)),"")</f>
        <v/>
      </c>
      <c r="AN20" s="18" t="str">
        <f aca="false">IF(AND(LEN(AK20)&lt;&gt;0,LEN(AL20)&lt;&gt;0),((HOUR(AL20)*60)+MINUTE(AL20))-((HOUR(AK20)*60)+MINUTE(AK20)),"")</f>
        <v/>
      </c>
      <c r="AO20" s="26"/>
      <c r="AT20" s="18" t="str">
        <f aca="false">IF(AND(LEN(AQ20)&lt;&gt;0,LEN(AR20)&lt;&gt;0),((HOUR(AR20)*60)+MINUTE(AR20))-((HOUR(AQ20)*60)+MINUTE(AQ20)),"")</f>
        <v/>
      </c>
      <c r="AY20" s="18" t="str">
        <f aca="false">IF(AND(LEN(AV20)&lt;&gt;0,LEN(AW20)&lt;&gt;0),((HOUR(AW20)*60)+MINUTE(AW20))-((HOUR(AV20)*60)+MINUTE(AV20)),"")</f>
        <v/>
      </c>
      <c r="BD20" s="18" t="str">
        <f aca="false">IF(AND(LEN(BA20)&lt;&gt;0,LEN(BB20)&lt;&gt;0),((HOUR(BB20)*60)+MINUTE(BB20))-((HOUR(BA20)*60)+MINUTE(BA20)),"")</f>
        <v/>
      </c>
      <c r="BI20" s="18" t="str">
        <f aca="false">IF(AND(LEN(BF20)&lt;&gt;0,LEN(BG20)&lt;&gt;0),((HOUR(BG20)*60)+MINUTE(BG20))-((HOUR(BF20)*60)+MINUTE(BF20)),"")</f>
        <v/>
      </c>
      <c r="BN20" s="18" t="str">
        <f aca="false">IF(AND(LEN(BK20)&lt;&gt;0,LEN(BL20)&lt;&gt;0),((HOUR(BL20)*60)+MINUTE(BL20))-((HOUR(BK20)*60)+MINUTE(BK20)),"")</f>
        <v/>
      </c>
      <c r="BP20" s="27"/>
      <c r="BQ20" s="27"/>
      <c r="BR20" s="27"/>
      <c r="BT20" s="18" t="str">
        <f aca="false">IF(AND(LEN(BQ20)&lt;&gt;0,LEN(BR20)&lt;&gt;0),((HOUR(BR20)*60)+MINUTE(BR20))-((HOUR(BQ20)*60)+MINUTE(BQ20)),"")</f>
        <v/>
      </c>
      <c r="BY20" s="18" t="str">
        <f aca="false">IF(AND(LEN(BV20)&lt;&gt;0,LEN(BW20)&lt;&gt;0),((HOUR(BW20)*60)+MINUTE(BW20))-((HOUR(BV20)*60)+MINUTE(BV20)),"")</f>
        <v/>
      </c>
      <c r="BZ20" s="20" t="s">
        <v>29</v>
      </c>
      <c r="CA20" s="20" t="n">
        <v>0.635416666666667</v>
      </c>
      <c r="CB20" s="20" t="n">
        <v>0.638888888888889</v>
      </c>
      <c r="CC20" s="1" t="str">
        <f aca="false">"[""" &amp; BZ20 &amp; """, """ &amp; IF(CA20="","",TEXT(CA20,"h:mm")) &amp; """, """ &amp; IF(CB20="","",TEXT(CB20,"h:mm")) &amp; """],"</f>
        <v>["別府", "15:15", "15:20"],</v>
      </c>
      <c r="CD20" s="18" t="n">
        <f aca="false">IF(AND(LEN(CA20)&lt;&gt;0,LEN(CB20)&lt;&gt;0),((HOUR(CB20)*60)+MINUTE(CB20))-((HOUR(CA20)*60)+MINUTE(CA20)),"")</f>
        <v>5</v>
      </c>
      <c r="CE20" s="28"/>
      <c r="CF20" s="21" t="s">
        <v>31</v>
      </c>
      <c r="CG20" s="22" t="n">
        <v>0.739583333333333</v>
      </c>
      <c r="CH20" s="22" t="n">
        <v>0.740972222222222</v>
      </c>
      <c r="CI20" s="1" t="str">
        <f aca="false">"[""" &amp; CF20 &amp; """, """ &amp; IF(CG20="","",TEXT(CG20,"h:mm")) &amp; """, """ &amp; IF(CH20="","",TEXT(CH20,"h:mm")) &amp; """],"</f>
        <v>["来居", "17:45", "17:47"],</v>
      </c>
      <c r="CJ20" s="18" t="n">
        <f aca="false">IF(AND(LEN(CG20)&lt;&gt;0,LEN(CH20)&lt;&gt;0),((HOUR(CH20)*60)+MINUTE(CH20))-((HOUR(CG20)*60)+MINUTE(CG20)),"")</f>
        <v>2</v>
      </c>
      <c r="CK20" s="19" t="s">
        <v>30</v>
      </c>
      <c r="CL20" s="19" t="n">
        <v>0.519444444444445</v>
      </c>
      <c r="CM20" s="19" t="n">
        <v>0.520833333333333</v>
      </c>
      <c r="CN20" s="1" t="str">
        <f aca="false">"[""" &amp; CK20 &amp; """, """ &amp; IF(CL20="","",TEXT(CL20,"h:mm")) &amp; """, """ &amp; IF(CM20="","",TEXT(CM20,"h:mm")) &amp; """],"</f>
        <v>["菱浦", "12:28", "12:30"],</v>
      </c>
      <c r="CO20" s="18" t="n">
        <f aca="false">IF(AND(LEN(CL20)&lt;&gt;0,LEN(CM20)&lt;&gt;0),((HOUR(CM20)*60)+MINUTE(CM20))-((HOUR(CL20)*60)+MINUTE(CL20)),"")</f>
        <v>2</v>
      </c>
      <c r="CP20" s="19" t="s">
        <v>30</v>
      </c>
      <c r="CQ20" s="19" t="n">
        <v>0.519444444444445</v>
      </c>
      <c r="CR20" s="19" t="n">
        <v>0.520833333333333</v>
      </c>
      <c r="CS20" s="1" t="str">
        <f aca="false">"[""" &amp; CP20 &amp; """, """ &amp; IF(CQ20="","",TEXT(CQ20,"h:mm")) &amp; """, """ &amp; IF(CR20="","",TEXT(CR20,"h:mm")) &amp; """],"</f>
        <v>["菱浦", "12:28", "12:30"],</v>
      </c>
      <c r="CT20" s="18" t="n">
        <f aca="false">IF(AND(LEN(CQ20)&lt;&gt;0,LEN(CR20)&lt;&gt;0),((HOUR(CR20)*60)+MINUTE(CR20))-((HOUR(CQ20)*60)+MINUTE(CQ20)),"")</f>
        <v>2</v>
      </c>
      <c r="CY20" s="18"/>
      <c r="CZ20" s="20" t="s">
        <v>29</v>
      </c>
      <c r="DA20" s="20" t="n">
        <v>0.657638888888889</v>
      </c>
      <c r="DB20" s="20" t="n">
        <v>0.673611111111111</v>
      </c>
      <c r="DC20" s="1" t="str">
        <f aca="false">"[""" &amp; CZ20 &amp; """, """ &amp; IF(DA20="","",TEXT(DA20,"h:mm")) &amp; """, """ &amp; IF(DB20="","",TEXT(DB20,"h:mm")) &amp; """],"</f>
        <v>["別府", "15:47", "16:10"],</v>
      </c>
      <c r="DD20" s="18" t="n">
        <f aca="false">IF(AND(LEN(DA20)&lt;&gt;0,LEN(DB20)&lt;&gt;0),((HOUR(DB20)*60)+MINUTE(DB20))-((HOUR(DA20)*60)+MINUTE(DA20)),"")</f>
        <v>23</v>
      </c>
      <c r="DE20" s="20" t="s">
        <v>29</v>
      </c>
      <c r="DF20" s="20" t="n">
        <v>0.657638888888889</v>
      </c>
      <c r="DG20" s="20" t="n">
        <v>0.673611111111111</v>
      </c>
      <c r="DH20" s="1" t="str">
        <f aca="false">"[""" &amp; DE20 &amp; """, """ &amp; IF(DF20="","",TEXT(DF20,"h:mm")) &amp; """, """ &amp; IF(DG20="","",TEXT(DG20,"h:mm")) &amp; """],"</f>
        <v>["別府", "15:47", "16:10"],</v>
      </c>
      <c r="DI20" s="18" t="n">
        <f aca="false">IF(AND(LEN(DF20)&lt;&gt;0,LEN(DG20)&lt;&gt;0),((HOUR(DG20)*60)+MINUTE(DG20))-((HOUR(DF20)*60)+MINUTE(DF20)),"")</f>
        <v>23</v>
      </c>
    </row>
    <row r="21" customFormat="false" ht="18" hidden="false" customHeight="false" outlineLevel="0" collapsed="false">
      <c r="E21" s="18"/>
      <c r="J21" s="18"/>
      <c r="O21" s="18"/>
      <c r="T21" s="18"/>
      <c r="Y21" s="18"/>
      <c r="AD21" s="18"/>
      <c r="AI21" s="18" t="str">
        <f aca="false">IF(AND(LEN(AF21)&lt;&gt;0,LEN(AG21)&lt;&gt;0),((HOUR(AG21)*60)+MINUTE(AG21))-((HOUR(AF21)*60)+MINUTE(AF21)),"")</f>
        <v/>
      </c>
      <c r="AN21" s="18" t="str">
        <f aca="false">IF(AND(LEN(AK21)&lt;&gt;0,LEN(AL21)&lt;&gt;0),((HOUR(AL21)*60)+MINUTE(AL21))-((HOUR(AK21)*60)+MINUTE(AK21)),"")</f>
        <v/>
      </c>
      <c r="AO21" s="26"/>
      <c r="AT21" s="18" t="str">
        <f aca="false">IF(AND(LEN(AQ21)&lt;&gt;0,LEN(AR21)&lt;&gt;0),((HOUR(AR21)*60)+MINUTE(AR21))-((HOUR(AQ21)*60)+MINUTE(AQ21)),"")</f>
        <v/>
      </c>
      <c r="AY21" s="18" t="str">
        <f aca="false">IF(AND(LEN(AV21)&lt;&gt;0,LEN(AW21)&lt;&gt;0),((HOUR(AW21)*60)+MINUTE(AW21))-((HOUR(AV21)*60)+MINUTE(AV21)),"")</f>
        <v/>
      </c>
      <c r="BD21" s="18" t="str">
        <f aca="false">IF(AND(LEN(BA21)&lt;&gt;0,LEN(BB21)&lt;&gt;0),((HOUR(BB21)*60)+MINUTE(BB21))-((HOUR(BA21)*60)+MINUTE(BA21)),"")</f>
        <v/>
      </c>
      <c r="BI21" s="18" t="str">
        <f aca="false">IF(AND(LEN(BF21)&lt;&gt;0,LEN(BG21)&lt;&gt;0),((HOUR(BG21)*60)+MINUTE(BG21))-((HOUR(BF21)*60)+MINUTE(BF21)),"")</f>
        <v/>
      </c>
      <c r="BN21" s="18" t="str">
        <f aca="false">IF(AND(LEN(BK21)&lt;&gt;0,LEN(BL21)&lt;&gt;0),((HOUR(BL21)*60)+MINUTE(BL21))-((HOUR(BK21)*60)+MINUTE(BK21)),"")</f>
        <v/>
      </c>
      <c r="BP21" s="27"/>
      <c r="BQ21" s="27"/>
      <c r="BR21" s="27"/>
      <c r="BT21" s="18" t="str">
        <f aca="false">IF(AND(LEN(BQ21)&lt;&gt;0,LEN(BR21)&lt;&gt;0),((HOUR(BR21)*60)+MINUTE(BR21))-((HOUR(BQ21)*60)+MINUTE(BQ21)),"")</f>
        <v/>
      </c>
      <c r="BY21" s="18" t="str">
        <f aca="false">IF(AND(LEN(BV21)&lt;&gt;0,LEN(BW21)&lt;&gt;0),((HOUR(BW21)*60)+MINUTE(BW21))-((HOUR(BV21)*60)+MINUTE(BV21)),"")</f>
        <v/>
      </c>
      <c r="BZ21" s="21" t="s">
        <v>31</v>
      </c>
      <c r="CA21" s="22" t="n">
        <v>0.660416666666667</v>
      </c>
      <c r="CB21" s="22" t="n">
        <v>0.664583333333333</v>
      </c>
      <c r="CC21" s="1" t="str">
        <f aca="false">"[""" &amp; BZ21 &amp; """, """ &amp; IF(CA21="","",TEXT(CA21,"h:mm")) &amp; """, """ &amp; IF(CB21="","",TEXT(CB21,"h:mm")) &amp; """],"</f>
        <v>["来居", "15:51", "15:57"],</v>
      </c>
      <c r="CD21" s="18" t="n">
        <f aca="false">IF(AND(LEN(CA21)&lt;&gt;0,LEN(CB21)&lt;&gt;0),((HOUR(CB21)*60)+MINUTE(CB21))-((HOUR(CA21)*60)+MINUTE(CA21)),"")</f>
        <v>6</v>
      </c>
      <c r="CE21" s="28"/>
      <c r="CF21" s="19" t="s">
        <v>30</v>
      </c>
      <c r="CG21" s="19" t="n">
        <v>0.754861111111111</v>
      </c>
      <c r="CH21" s="19" t="n">
        <v>0.75625</v>
      </c>
      <c r="CI21" s="1" t="str">
        <f aca="false">"[""" &amp; CF21 &amp; """, """ &amp; IF(CG21="","",TEXT(CG21,"h:mm")) &amp; """, """ &amp; IF(CH21="","",TEXT(CH21,"h:mm")) &amp; """],"</f>
        <v>["菱浦", "18:07", "18:09"],</v>
      </c>
      <c r="CJ21" s="18" t="n">
        <f aca="false">IF(AND(LEN(CG21)&lt;&gt;0,LEN(CH21)&lt;&gt;0),((HOUR(CH21)*60)+MINUTE(CH21))-((HOUR(CG21)*60)+MINUTE(CG21)),"")</f>
        <v>2</v>
      </c>
      <c r="CK21" s="20" t="s">
        <v>29</v>
      </c>
      <c r="CL21" s="20" t="n">
        <v>0.525694444444445</v>
      </c>
      <c r="CM21" s="20" t="n">
        <v>0.527777777777778</v>
      </c>
      <c r="CN21" s="1" t="str">
        <f aca="false">"[""" &amp; CK21 &amp; """, """ &amp; IF(CL21="","",TEXT(CL21,"h:mm")) &amp; """, """ &amp; IF(CM21="","",TEXT(CM21,"h:mm")) &amp; """],"</f>
        <v>["別府", "12:37", "12:40"],</v>
      </c>
      <c r="CO21" s="18" t="n">
        <f aca="false">IF(AND(LEN(CL21)&lt;&gt;0,LEN(CM21)&lt;&gt;0),((HOUR(CM21)*60)+MINUTE(CM21))-((HOUR(CL21)*60)+MINUTE(CL21)),"")</f>
        <v>3</v>
      </c>
      <c r="CP21" s="20" t="s">
        <v>29</v>
      </c>
      <c r="CQ21" s="20" t="n">
        <v>0.525694444444445</v>
      </c>
      <c r="CR21" s="20" t="n">
        <v>0.527777777777778</v>
      </c>
      <c r="CS21" s="1" t="str">
        <f aca="false">"[""" &amp; CP21 &amp; """, """ &amp; IF(CQ21="","",TEXT(CQ21,"h:mm")) &amp; """, """ &amp; IF(CR21="","",TEXT(CR21,"h:mm")) &amp; """],"</f>
        <v>["別府", "12:37", "12:40"],</v>
      </c>
      <c r="CT21" s="18" t="n">
        <f aca="false">IF(AND(LEN(CQ21)&lt;&gt;0,LEN(CR21)&lt;&gt;0),((HOUR(CR21)*60)+MINUTE(CR21))-((HOUR(CQ21)*60)+MINUTE(CQ21)),"")</f>
        <v>3</v>
      </c>
      <c r="CY21" s="18"/>
      <c r="CZ21" s="19" t="s">
        <v>30</v>
      </c>
      <c r="DA21" s="19" t="n">
        <v>0.678472222222222</v>
      </c>
      <c r="DB21" s="19" t="n">
        <v>0.700694444444444</v>
      </c>
      <c r="DC21" s="1" t="str">
        <f aca="false">"[""" &amp; CZ21 &amp; """, """ &amp; IF(DA21="","",TEXT(DA21,"h:mm")) &amp; """, """ &amp; IF(DB21="","",TEXT(DB21,"h:mm")) &amp; """],"</f>
        <v>["菱浦", "16:17", "16:49"],</v>
      </c>
      <c r="DD21" s="18" t="n">
        <f aca="false">IF(AND(LEN(DA21)&lt;&gt;0,LEN(DB21)&lt;&gt;0),((HOUR(DB21)*60)+MINUTE(DB21))-((HOUR(DA21)*60)+MINUTE(DA21)),"")</f>
        <v>32</v>
      </c>
      <c r="DE21" s="19" t="s">
        <v>30</v>
      </c>
      <c r="DF21" s="19" t="n">
        <v>0.678472222222222</v>
      </c>
      <c r="DG21" s="19" t="n">
        <v>0.700694444444444</v>
      </c>
      <c r="DH21" s="1" t="str">
        <f aca="false">"[""" &amp; DE21 &amp; """, """ &amp; IF(DF21="","",TEXT(DF21,"h:mm")) &amp; """, """ &amp; IF(DG21="","",TEXT(DG21,"h:mm")) &amp; """],"</f>
        <v>["菱浦", "16:17", "16:49"],</v>
      </c>
      <c r="DI21" s="18" t="n">
        <f aca="false">IF(AND(LEN(DF21)&lt;&gt;0,LEN(DG21)&lt;&gt;0),((HOUR(DG21)*60)+MINUTE(DG21))-((HOUR(DF21)*60)+MINUTE(DF21)),"")</f>
        <v>32</v>
      </c>
    </row>
    <row r="22" customFormat="false" ht="18" hidden="false" customHeight="false" outlineLevel="0" collapsed="false">
      <c r="E22" s="18"/>
      <c r="J22" s="18"/>
      <c r="O22" s="18"/>
      <c r="T22" s="18"/>
      <c r="Y22" s="18"/>
      <c r="AD22" s="18"/>
      <c r="AI22" s="18" t="str">
        <f aca="false">IF(AND(LEN(AF22)&lt;&gt;0,LEN(AG22)&lt;&gt;0),((HOUR(AG22)*60)+MINUTE(AG22))-((HOUR(AF22)*60)+MINUTE(AF22)),"")</f>
        <v/>
      </c>
      <c r="AN22" s="18" t="str">
        <f aca="false">IF(AND(LEN(AK22)&lt;&gt;0,LEN(AL22)&lt;&gt;0),((HOUR(AL22)*60)+MINUTE(AL22))-((HOUR(AK22)*60)+MINUTE(AK22)),"")</f>
        <v/>
      </c>
      <c r="AO22" s="26"/>
      <c r="AT22" s="18" t="str">
        <f aca="false">IF(AND(LEN(AQ22)&lt;&gt;0,LEN(AR22)&lt;&gt;0),((HOUR(AR22)*60)+MINUTE(AR22))-((HOUR(AQ22)*60)+MINUTE(AQ22)),"")</f>
        <v/>
      </c>
      <c r="AY22" s="18" t="str">
        <f aca="false">IF(AND(LEN(AV22)&lt;&gt;0,LEN(AW22)&lt;&gt;0),((HOUR(AW22)*60)+MINUTE(AW22))-((HOUR(AV22)*60)+MINUTE(AV22)),"")</f>
        <v/>
      </c>
      <c r="BD22" s="18" t="str">
        <f aca="false">IF(AND(LEN(BA22)&lt;&gt;0,LEN(BB22)&lt;&gt;0),((HOUR(BB22)*60)+MINUTE(BB22))-((HOUR(BA22)*60)+MINUTE(BA22)),"")</f>
        <v/>
      </c>
      <c r="BI22" s="18" t="str">
        <f aca="false">IF(AND(LEN(BF22)&lt;&gt;0,LEN(BG22)&lt;&gt;0),((HOUR(BG22)*60)+MINUTE(BG22))-((HOUR(BF22)*60)+MINUTE(BF22)),"")</f>
        <v/>
      </c>
      <c r="BN22" s="18" t="str">
        <f aca="false">IF(AND(LEN(BK22)&lt;&gt;0,LEN(BL22)&lt;&gt;0),((HOUR(BL22)*60)+MINUTE(BL22))-((HOUR(BK22)*60)+MINUTE(BK22)),"")</f>
        <v/>
      </c>
      <c r="BP22" s="27"/>
      <c r="BQ22" s="27"/>
      <c r="BR22" s="27"/>
      <c r="BT22" s="18" t="str">
        <f aca="false">IF(AND(LEN(BQ22)&lt;&gt;0,LEN(BR22)&lt;&gt;0),((HOUR(BR22)*60)+MINUTE(BR22))-((HOUR(BQ22)*60)+MINUTE(BQ22)),"")</f>
        <v/>
      </c>
      <c r="BY22" s="18" t="str">
        <f aca="false">IF(AND(LEN(BV22)&lt;&gt;0,LEN(BW22)&lt;&gt;0),((HOUR(BW22)*60)+MINUTE(BW22))-((HOUR(BV22)*60)+MINUTE(BV22)),"")</f>
        <v/>
      </c>
      <c r="BZ22" s="20" t="s">
        <v>29</v>
      </c>
      <c r="CA22" s="20" t="n">
        <v>0.690972222222222</v>
      </c>
      <c r="CB22" s="20" t="n">
        <v>0.695833333333333</v>
      </c>
      <c r="CC22" s="1" t="str">
        <f aca="false">"[""" &amp; BZ22 &amp; """, """ &amp; IF(CA22="","",TEXT(CA22,"h:mm")) &amp; """, """ &amp; IF(CB22="","",TEXT(CB22,"h:mm")) &amp; """],"</f>
        <v>["別府", "16:35", "16:42"],</v>
      </c>
      <c r="CD22" s="18" t="n">
        <f aca="false">IF(AND(LEN(CA22)&lt;&gt;0,LEN(CB22)&lt;&gt;0),((HOUR(CB22)*60)+MINUTE(CB22))-((HOUR(CA22)*60)+MINUTE(CA22)),"")</f>
        <v>7</v>
      </c>
      <c r="CE22" s="28"/>
      <c r="CF22" s="20" t="s">
        <v>29</v>
      </c>
      <c r="CG22" s="20" t="n">
        <v>0.761805555555556</v>
      </c>
      <c r="CI22" s="1" t="str">
        <f aca="false">"[""" &amp; CF22 &amp; """, """ &amp; IF(CG22="","",TEXT(CG22,"h:mm")) &amp; """, """ &amp; IF(CH22="","",TEXT(CH22,"h:mm")) &amp; """]"</f>
        <v>["別府", "18:17", ""]</v>
      </c>
      <c r="CJ22" s="18" t="str">
        <f aca="false">IF(AND(LEN(CG22)&lt;&gt;0,LEN(CH22)&lt;&gt;0),((HOUR(CH22)*60)+MINUTE(CH22))-((HOUR(CG22)*60)+MINUTE(CG22)),"")</f>
        <v/>
      </c>
      <c r="CK22" s="21" t="s">
        <v>31</v>
      </c>
      <c r="CL22" s="22" t="n">
        <v>0.539583333333333</v>
      </c>
      <c r="CM22" s="22" t="n">
        <v>0.541666666666667</v>
      </c>
      <c r="CN22" s="1" t="str">
        <f aca="false">"[""" &amp; CK22 &amp; """, """ &amp; IF(CL22="","",TEXT(CL22,"h:mm")) &amp; """, """ &amp; IF(CM22="","",TEXT(CM22,"h:mm")) &amp; """],"</f>
        <v>["来居", "12:57", "13:00"],</v>
      </c>
      <c r="CO22" s="18" t="n">
        <f aca="false">IF(AND(LEN(CL22)&lt;&gt;0,LEN(CM22)&lt;&gt;0),((HOUR(CM22)*60)+MINUTE(CM22))-((HOUR(CL22)*60)+MINUTE(CL22)),"")</f>
        <v>3</v>
      </c>
      <c r="CP22" s="21" t="s">
        <v>31</v>
      </c>
      <c r="CQ22" s="22" t="n">
        <v>0.539583333333333</v>
      </c>
      <c r="CR22" s="22" t="n">
        <v>0.541666666666667</v>
      </c>
      <c r="CS22" s="1" t="str">
        <f aca="false">"[""" &amp; CP22 &amp; """, """ &amp; IF(CQ22="","",TEXT(CQ22,"h:mm")) &amp; """, """ &amp; IF(CR22="","",TEXT(CR22,"h:mm")) &amp; """],"</f>
        <v>["来居", "12:57", "13:00"],</v>
      </c>
      <c r="CT22" s="18" t="n">
        <f aca="false">IF(AND(LEN(CQ22)&lt;&gt;0,LEN(CR22)&lt;&gt;0),((HOUR(CR22)*60)+MINUTE(CR22))-((HOUR(CQ22)*60)+MINUTE(CQ22)),"")</f>
        <v>3</v>
      </c>
      <c r="CY22" s="18"/>
      <c r="CZ22" s="20" t="s">
        <v>29</v>
      </c>
      <c r="DA22" s="20" t="n">
        <v>0.705555555555556</v>
      </c>
      <c r="DB22" s="20" t="n">
        <v>0.722222222222222</v>
      </c>
      <c r="DC22" s="1" t="str">
        <f aca="false">"[""" &amp; CZ22 &amp; """, """ &amp; IF(DA22="","",TEXT(DA22,"h:mm")) &amp; """, """ &amp; IF(DB22="","",TEXT(DB22,"h:mm")) &amp; """],"</f>
        <v>["別府", "16:56", "17:20"],</v>
      </c>
      <c r="DD22" s="18" t="n">
        <f aca="false">IF(AND(LEN(DA22)&lt;&gt;0,LEN(DB22)&lt;&gt;0),((HOUR(DB22)*60)+MINUTE(DB22))-((HOUR(DA22)*60)+MINUTE(DA22)),"")</f>
        <v>24</v>
      </c>
      <c r="DE22" s="20" t="s">
        <v>29</v>
      </c>
      <c r="DF22" s="20" t="n">
        <v>0.705555555555556</v>
      </c>
      <c r="DG22" s="20" t="n">
        <v>0.722222222222222</v>
      </c>
      <c r="DH22" s="1" t="str">
        <f aca="false">"[""" &amp; DE22 &amp; """, """ &amp; IF(DF22="","",TEXT(DF22,"h:mm")) &amp; """, """ &amp; IF(DG22="","",TEXT(DG22,"h:mm")) &amp; """],"</f>
        <v>["別府", "16:56", "17:20"],</v>
      </c>
      <c r="DI22" s="18" t="n">
        <f aca="false">IF(AND(LEN(DF22)&lt;&gt;0,LEN(DG22)&lt;&gt;0),((HOUR(DG22)*60)+MINUTE(DG22))-((HOUR(DF22)*60)+MINUTE(DF22)),"")</f>
        <v>24</v>
      </c>
    </row>
    <row r="23" customFormat="false" ht="18" hidden="false" customHeight="false" outlineLevel="0" collapsed="false">
      <c r="E23" s="18" t="str">
        <f aca="false">IF(AND(LEN(B23)&lt;&gt;0,LEN(C23)&lt;&gt;0),((HOUR(C23)*60)+MINUTE(C23))-((HOUR(B23)*60)+MINUTE(B23)),"")</f>
        <v/>
      </c>
      <c r="J23" s="18" t="str">
        <f aca="false">IF(AND(LEN(G23)&lt;&gt;0,LEN(H23)&lt;&gt;0),((HOUR(H23)*60)+MINUTE(H23))-((HOUR(G23)*60)+MINUTE(G23)),"")</f>
        <v/>
      </c>
      <c r="O23" s="18" t="str">
        <f aca="false">IF(AND(LEN(L23)&lt;&gt;0,LEN(M23)&lt;&gt;0),((HOUR(M23)*60)+MINUTE(M23))-((HOUR(L23)*60)+MINUTE(L23)),"")</f>
        <v/>
      </c>
      <c r="T23" s="18" t="str">
        <f aca="false">IF(AND(LEN(Q23)&lt;&gt;0,LEN(R23)&lt;&gt;0),((HOUR(R23)*60)+MINUTE(R23))-((HOUR(Q23)*60)+MINUTE(Q23)),"")</f>
        <v/>
      </c>
      <c r="Y23" s="18" t="str">
        <f aca="false">IF(AND(LEN(V23)&lt;&gt;0,LEN(W23)&lt;&gt;0),((HOUR(W23)*60)+MINUTE(W23))-((HOUR(V23)*60)+MINUTE(V23)),"")</f>
        <v/>
      </c>
      <c r="AD23" s="18" t="str">
        <f aca="false">IF(AND(LEN(AA23)&lt;&gt;0,LEN(AB23)&lt;&gt;0),((HOUR(AB23)*60)+MINUTE(AB23))-((HOUR(AA23)*60)+MINUTE(AA23)),"")</f>
        <v/>
      </c>
      <c r="AI23" s="18" t="str">
        <f aca="false">IF(AND(LEN(AF23)&lt;&gt;0,LEN(AG23)&lt;&gt;0),((HOUR(AG23)*60)+MINUTE(AG23))-((HOUR(AF23)*60)+MINUTE(AF23)),"")</f>
        <v/>
      </c>
      <c r="AN23" s="18" t="str">
        <f aca="false">IF(AND(LEN(AK23)&lt;&gt;0,LEN(AL23)&lt;&gt;0),((HOUR(AL23)*60)+MINUTE(AL23))-((HOUR(AK23)*60)+MINUTE(AK23)),"")</f>
        <v/>
      </c>
      <c r="AT23" s="18" t="str">
        <f aca="false">IF(AND(LEN(AQ23)&lt;&gt;0,LEN(AR23)&lt;&gt;0),((HOUR(AR23)*60)+MINUTE(AR23))-((HOUR(AQ23)*60)+MINUTE(AQ23)),"")</f>
        <v/>
      </c>
      <c r="AY23" s="18" t="str">
        <f aca="false">IF(AND(LEN(AV23)&lt;&gt;0,LEN(AW23)&lt;&gt;0),((HOUR(AW23)*60)+MINUTE(AW23))-((HOUR(AV23)*60)+MINUTE(AV23)),"")</f>
        <v/>
      </c>
      <c r="BD23" s="18" t="str">
        <f aca="false">IF(AND(LEN(BA23)&lt;&gt;0,LEN(BB23)&lt;&gt;0),((HOUR(BB23)*60)+MINUTE(BB23))-((HOUR(BA23)*60)+MINUTE(BA23)),"")</f>
        <v/>
      </c>
      <c r="BI23" s="18" t="str">
        <f aca="false">IF(AND(LEN(BF23)&lt;&gt;0,LEN(BG23)&lt;&gt;0),((HOUR(BG23)*60)+MINUTE(BG23))-((HOUR(BF23)*60)+MINUTE(BF23)),"")</f>
        <v/>
      </c>
      <c r="BN23" s="18" t="str">
        <f aca="false">IF(AND(LEN(BK23)&lt;&gt;0,LEN(BL23)&lt;&gt;0),((HOUR(BL23)*60)+MINUTE(BL23))-((HOUR(BK23)*60)+MINUTE(BK23)),"")</f>
        <v/>
      </c>
      <c r="BT23" s="18" t="str">
        <f aca="false">IF(AND(LEN(BQ23)&lt;&gt;0,LEN(BR23)&lt;&gt;0),((HOUR(BR23)*60)+MINUTE(BR23))-((HOUR(BQ23)*60)+MINUTE(BQ23)),"")</f>
        <v/>
      </c>
      <c r="BY23" s="18" t="str">
        <f aca="false">IF(AND(LEN(BV23)&lt;&gt;0,LEN(BW23)&lt;&gt;0),((HOUR(BW23)*60)+MINUTE(BW23))-((HOUR(BV23)*60)+MINUTE(BV23)),"")</f>
        <v/>
      </c>
      <c r="BZ23" s="19" t="s">
        <v>30</v>
      </c>
      <c r="CA23" s="19" t="n">
        <v>0.704166666666667</v>
      </c>
      <c r="CB23" s="19" t="n">
        <v>0.722222222222222</v>
      </c>
      <c r="CC23" s="1" t="str">
        <f aca="false">"[""" &amp; BZ23 &amp; """, """ &amp; IF(CA23="","",TEXT(CA23,"h:mm")) &amp; """, """ &amp; IF(CB23="","",TEXT(CB23,"h:mm")) &amp; """],"</f>
        <v>["菱浦", "16:54", "17:20"],</v>
      </c>
      <c r="CD23" s="18" t="n">
        <f aca="false">IF(AND(LEN(CA23)&lt;&gt;0,LEN(CB23)&lt;&gt;0),((HOUR(CB23)*60)+MINUTE(CB23))-((HOUR(CA23)*60)+MINUTE(CA23)),"")</f>
        <v>26</v>
      </c>
      <c r="CI23" s="1" t="s">
        <v>33</v>
      </c>
      <c r="CJ23" s="18" t="str">
        <f aca="false">IF(AND(LEN(CG23)&lt;&gt;0,LEN(CH23)&lt;&gt;0),((HOUR(CH23)*60)+MINUTE(CH23))-((HOUR(CG23)*60)+MINUTE(CG23)),"")</f>
        <v/>
      </c>
      <c r="CK23" s="19" t="s">
        <v>30</v>
      </c>
      <c r="CL23" s="19" t="n">
        <v>0.554166666666667</v>
      </c>
      <c r="CM23" s="19" t="n">
        <v>0.55625</v>
      </c>
      <c r="CN23" s="1" t="str">
        <f aca="false">"[""" &amp; CK23 &amp; """, """ &amp; IF(CL23="","",TEXT(CL23,"h:mm")) &amp; """, """ &amp; IF(CM23="","",TEXT(CM23,"h:mm")) &amp; """],"</f>
        <v>["菱浦", "13:18", "13:21"],</v>
      </c>
      <c r="CO23" s="18" t="n">
        <f aca="false">IF(AND(LEN(CL23)&lt;&gt;0,LEN(CM23)&lt;&gt;0),((HOUR(CM23)*60)+MINUTE(CM23))-((HOUR(CL23)*60)+MINUTE(CL23)),"")</f>
        <v>3</v>
      </c>
      <c r="CP23" s="19" t="s">
        <v>30</v>
      </c>
      <c r="CQ23" s="19" t="n">
        <v>0.554166666666667</v>
      </c>
      <c r="CR23" s="19" t="n">
        <v>0.55625</v>
      </c>
      <c r="CS23" s="1" t="str">
        <f aca="false">"[""" &amp; CP23 &amp; """, """ &amp; IF(CQ23="","",TEXT(CQ23,"h:mm")) &amp; """, """ &amp; IF(CR23="","",TEXT(CR23,"h:mm")) &amp; """],"</f>
        <v>["菱浦", "13:18", "13:21"],</v>
      </c>
      <c r="CT23" s="18" t="n">
        <f aca="false">IF(AND(LEN(CQ23)&lt;&gt;0,LEN(CR23)&lt;&gt;0),((HOUR(CR23)*60)+MINUTE(CR23))-((HOUR(CQ23)*60)+MINUTE(CQ23)),"")</f>
        <v>3</v>
      </c>
      <c r="CY23" s="18"/>
      <c r="CZ23" s="19" t="s">
        <v>30</v>
      </c>
      <c r="DA23" s="19" t="n">
        <v>0.727083333333333</v>
      </c>
      <c r="DB23" s="29" t="n">
        <v>0.75625</v>
      </c>
      <c r="DC23" s="1" t="str">
        <f aca="false">"[""" &amp; CZ23 &amp; """, """ &amp; IF(DA23="","",TEXT(DA23,"h:mm")) &amp; """, """ &amp; IF(DB23="","",TEXT(DB23,"h:mm")) &amp; """],"</f>
        <v>["菱浦", "17:27", "18:09"],</v>
      </c>
      <c r="DD23" s="18" t="n">
        <f aca="false">IF(AND(LEN(DA23)&lt;&gt;0,LEN(DB23)&lt;&gt;0),((HOUR(DB23)*60)+MINUTE(DB23))-((HOUR(DA23)*60)+MINUTE(DA23)),"")</f>
        <v>42</v>
      </c>
      <c r="DE23" s="19" t="s">
        <v>30</v>
      </c>
      <c r="DF23" s="19" t="n">
        <v>0.727083333333333</v>
      </c>
      <c r="DG23" s="29" t="n">
        <v>0.763194444444444</v>
      </c>
      <c r="DH23" s="1" t="str">
        <f aca="false">"[""" &amp; DE23 &amp; """, """ &amp; IF(DF23="","",TEXT(DF23,"h:mm")) &amp; """, """ &amp; IF(DG23="","",TEXT(DG23,"h:mm")) &amp; """],"</f>
        <v>["菱浦", "17:27", "18:19"],</v>
      </c>
      <c r="DI23" s="18" t="n">
        <f aca="false">IF(AND(LEN(DF23)&lt;&gt;0,LEN(DG23)&lt;&gt;0),((HOUR(DG23)*60)+MINUTE(DG23))-((HOUR(DF23)*60)+MINUTE(DF23)),"")</f>
        <v>52</v>
      </c>
    </row>
    <row r="24" customFormat="false" ht="18" hidden="false" customHeight="false" outlineLevel="0" collapsed="false">
      <c r="E24" s="18" t="str">
        <f aca="false">IF(AND(LEN(B24)&lt;&gt;0,LEN(C24)&lt;&gt;0),((HOUR(C24)*60)+MINUTE(C24))-((HOUR(B24)*60)+MINUTE(B24)),"")</f>
        <v/>
      </c>
      <c r="J24" s="18" t="str">
        <f aca="false">IF(AND(LEN(G24)&lt;&gt;0,LEN(H24)&lt;&gt;0),((HOUR(H24)*60)+MINUTE(H24))-((HOUR(G24)*60)+MINUTE(G24)),"")</f>
        <v/>
      </c>
      <c r="O24" s="18" t="str">
        <f aca="false">IF(AND(LEN(L24)&lt;&gt;0,LEN(M24)&lt;&gt;0),((HOUR(M24)*60)+MINUTE(M24))-((HOUR(L24)*60)+MINUTE(L24)),"")</f>
        <v/>
      </c>
      <c r="T24" s="18" t="str">
        <f aca="false">IF(AND(LEN(Q24)&lt;&gt;0,LEN(R24)&lt;&gt;0),((HOUR(R24)*60)+MINUTE(R24))-((HOUR(Q24)*60)+MINUTE(Q24)),"")</f>
        <v/>
      </c>
      <c r="Y24" s="18" t="str">
        <f aca="false">IF(AND(LEN(V24)&lt;&gt;0,LEN(W24)&lt;&gt;0),((HOUR(W24)*60)+MINUTE(W24))-((HOUR(V24)*60)+MINUTE(V24)),"")</f>
        <v/>
      </c>
      <c r="AD24" s="18" t="str">
        <f aca="false">IF(AND(LEN(AA24)&lt;&gt;0,LEN(AB24)&lt;&gt;0),((HOUR(AB24)*60)+MINUTE(AB24))-((HOUR(AA24)*60)+MINUTE(AA24)),"")</f>
        <v/>
      </c>
      <c r="AI24" s="18" t="str">
        <f aca="false">IF(AND(LEN(AF24)&lt;&gt;0,LEN(AG24)&lt;&gt;0),((HOUR(AG24)*60)+MINUTE(AG24))-((HOUR(AF24)*60)+MINUTE(AF24)),"")</f>
        <v/>
      </c>
      <c r="AN24" s="18" t="str">
        <f aca="false">IF(AND(LEN(AK24)&lt;&gt;0,LEN(AL24)&lt;&gt;0),((HOUR(AL24)*60)+MINUTE(AL24))-((HOUR(AK24)*60)+MINUTE(AK24)),"")</f>
        <v/>
      </c>
      <c r="AT24" s="18" t="str">
        <f aca="false">IF(AND(LEN(AQ24)&lt;&gt;0,LEN(AR24)&lt;&gt;0),((HOUR(AR24)*60)+MINUTE(AR24))-((HOUR(AQ24)*60)+MINUTE(AQ24)),"")</f>
        <v/>
      </c>
      <c r="AY24" s="18" t="str">
        <f aca="false">IF(AND(LEN(AV24)&lt;&gt;0,LEN(AW24)&lt;&gt;0),((HOUR(AW24)*60)+MINUTE(AW24))-((HOUR(AV24)*60)+MINUTE(AV24)),"")</f>
        <v/>
      </c>
      <c r="BD24" s="18" t="str">
        <f aca="false">IF(AND(LEN(BA24)&lt;&gt;0,LEN(BB24)&lt;&gt;0),((HOUR(BB24)*60)+MINUTE(BB24))-((HOUR(BA24)*60)+MINUTE(BA24)),"")</f>
        <v/>
      </c>
      <c r="BI24" s="18" t="str">
        <f aca="false">IF(AND(LEN(BF24)&lt;&gt;0,LEN(BG24)&lt;&gt;0),((HOUR(BG24)*60)+MINUTE(BG24))-((HOUR(BF24)*60)+MINUTE(BF24)),"")</f>
        <v/>
      </c>
      <c r="BN24" s="18" t="str">
        <f aca="false">IF(AND(LEN(BK24)&lt;&gt;0,LEN(BL24)&lt;&gt;0),((HOUR(BL24)*60)+MINUTE(BL24))-((HOUR(BK24)*60)+MINUTE(BK24)),"")</f>
        <v/>
      </c>
      <c r="BT24" s="18" t="str">
        <f aca="false">IF(AND(LEN(BQ24)&lt;&gt;0,LEN(BR24)&lt;&gt;0),((HOUR(BR24)*60)+MINUTE(BR24))-((HOUR(BQ24)*60)+MINUTE(BQ24)),"")</f>
        <v/>
      </c>
      <c r="BY24" s="18" t="str">
        <f aca="false">IF(AND(LEN(BV24)&lt;&gt;0,LEN(BW24)&lt;&gt;0),((HOUR(BW24)*60)+MINUTE(BW24))-((HOUR(BV24)*60)+MINUTE(BV24)),"")</f>
        <v/>
      </c>
      <c r="BZ24" s="20" t="s">
        <v>29</v>
      </c>
      <c r="CA24" s="20" t="n">
        <v>0.732638888888889</v>
      </c>
      <c r="CB24" s="20" t="n">
        <v>0.736111111111111</v>
      </c>
      <c r="CC24" s="1" t="str">
        <f aca="false">"[""" &amp; BZ24 &amp; """, """ &amp; IF(CA24="","",TEXT(CA24,"h:mm")) &amp; """, """ &amp; IF(CB24="","",TEXT(CB24,"h:mm")) &amp; """],"</f>
        <v>["別府", "17:35", "17:40"],</v>
      </c>
      <c r="CD24" s="18" t="n">
        <f aca="false">IF(AND(LEN(CA24)&lt;&gt;0,LEN(CB24)&lt;&gt;0),((HOUR(CB24)*60)+MINUTE(CB24))-((HOUR(CA24)*60)+MINUTE(CA24)),"")</f>
        <v>5</v>
      </c>
      <c r="CK24" s="20" t="s">
        <v>29</v>
      </c>
      <c r="CL24" s="20" t="n">
        <v>0.561111111111111</v>
      </c>
      <c r="CM24" s="20" t="n">
        <v>0.5625</v>
      </c>
      <c r="CN24" s="1" t="str">
        <f aca="false">"[""" &amp; CK24 &amp; """, """ &amp; IF(CL24="","",TEXT(CL24,"h:mm")) &amp; """, """ &amp; IF(CM24="","",TEXT(CM24,"h:mm")) &amp; """],"</f>
        <v>["別府", "13:28", "13:30"],</v>
      </c>
      <c r="CO24" s="18" t="n">
        <f aca="false">IF(AND(LEN(CL24)&lt;&gt;0,LEN(CM24)&lt;&gt;0),((HOUR(CM24)*60)+MINUTE(CM24))-((HOUR(CL24)*60)+MINUTE(CL24)),"")</f>
        <v>2</v>
      </c>
      <c r="CP24" s="20" t="s">
        <v>29</v>
      </c>
      <c r="CQ24" s="20" t="n">
        <v>0.561111111111111</v>
      </c>
      <c r="CR24" s="20" t="n">
        <v>0.5625</v>
      </c>
      <c r="CS24" s="1" t="str">
        <f aca="false">"[""" &amp; CP24 &amp; """, """ &amp; IF(CQ24="","",TEXT(CQ24,"h:mm")) &amp; """, """ &amp; IF(CR24="","",TEXT(CR24,"h:mm")) &amp; """],"</f>
        <v>["別府", "13:28", "13:30"],</v>
      </c>
      <c r="CT24" s="18" t="n">
        <f aca="false">IF(AND(LEN(CQ24)&lt;&gt;0,LEN(CR24)&lt;&gt;0),((HOUR(CR24)*60)+MINUTE(CR24))-((HOUR(CQ24)*60)+MINUTE(CQ24)),"")</f>
        <v>2</v>
      </c>
      <c r="CZ24" s="20" t="s">
        <v>29</v>
      </c>
      <c r="DA24" s="30" t="n">
        <v>0.761111111111111</v>
      </c>
      <c r="DB24" s="20" t="n">
        <v>0.783333333333333</v>
      </c>
      <c r="DC24" s="1" t="str">
        <f aca="false">"[""" &amp; CZ24 &amp; """, """ &amp; IF(DA24="","",TEXT(DA24,"h:mm")) &amp; """, """ &amp; IF(DB24="","",TEXT(DB24,"h:mm")) &amp; """],"</f>
        <v>["別府", "18:16", "18:48"],</v>
      </c>
      <c r="DD24" s="18" t="n">
        <f aca="false">IF(AND(LEN(DA24)&lt;&gt;0,LEN(DB24)&lt;&gt;0),((HOUR(DB24)*60)+MINUTE(DB24))-((HOUR(DA24)*60)+MINUTE(DA24)),"")</f>
        <v>32</v>
      </c>
      <c r="DE24" s="20" t="s">
        <v>29</v>
      </c>
      <c r="DF24" s="30" t="n">
        <v>0.768055555555556</v>
      </c>
      <c r="DG24" s="20" t="n">
        <v>0.783333333333333</v>
      </c>
      <c r="DH24" s="1" t="str">
        <f aca="false">"[""" &amp; DE24 &amp; """, """ &amp; IF(DF24="","",TEXT(DF24,"h:mm")) &amp; """, """ &amp; IF(DG24="","",TEXT(DG24,"h:mm")) &amp; """],"</f>
        <v>["別府", "18:26", "18:48"],</v>
      </c>
      <c r="DI24" s="18" t="n">
        <f aca="false">IF(AND(LEN(DF24)&lt;&gt;0,LEN(DG24)&lt;&gt;0),((HOUR(DG24)*60)+MINUTE(DG24))-((HOUR(DF24)*60)+MINUTE(DF24)),"")</f>
        <v>22</v>
      </c>
    </row>
    <row r="25" customFormat="false" ht="18" hidden="false" customHeight="false" outlineLevel="0" collapsed="false">
      <c r="E25" s="18" t="str">
        <f aca="false">IF(AND(LEN(B25)&lt;&gt;0,LEN(C25)&lt;&gt;0),((HOUR(C25)*60)+MINUTE(C25))-((HOUR(B25)*60)+MINUTE(B25)),"")</f>
        <v/>
      </c>
      <c r="J25" s="18" t="str">
        <f aca="false">IF(AND(LEN(G25)&lt;&gt;0,LEN(H25)&lt;&gt;0),((HOUR(H25)*60)+MINUTE(H25))-((HOUR(G25)*60)+MINUTE(G25)),"")</f>
        <v/>
      </c>
      <c r="O25" s="18" t="str">
        <f aca="false">IF(AND(LEN(L25)&lt;&gt;0,LEN(M25)&lt;&gt;0),((HOUR(M25)*60)+MINUTE(M25))-((HOUR(L25)*60)+MINUTE(L25)),"")</f>
        <v/>
      </c>
      <c r="T25" s="18" t="str">
        <f aca="false">IF(AND(LEN(Q25)&lt;&gt;0,LEN(R25)&lt;&gt;0),((HOUR(R25)*60)+MINUTE(R25))-((HOUR(Q25)*60)+MINUTE(Q25)),"")</f>
        <v/>
      </c>
      <c r="Y25" s="18" t="str">
        <f aca="false">IF(AND(LEN(V25)&lt;&gt;0,LEN(W25)&lt;&gt;0),((HOUR(W25)*60)+MINUTE(W25))-((HOUR(V25)*60)+MINUTE(V25)),"")</f>
        <v/>
      </c>
      <c r="AD25" s="18" t="str">
        <f aca="false">IF(AND(LEN(AA25)&lt;&gt;0,LEN(AB25)&lt;&gt;0),((HOUR(AB25)*60)+MINUTE(AB25))-((HOUR(AA25)*60)+MINUTE(AA25)),"")</f>
        <v/>
      </c>
      <c r="AI25" s="18" t="str">
        <f aca="false">IF(AND(LEN(AF25)&lt;&gt;0,LEN(AG25)&lt;&gt;0),((HOUR(AG25)*60)+MINUTE(AG25))-((HOUR(AF25)*60)+MINUTE(AF25)),"")</f>
        <v/>
      </c>
      <c r="AN25" s="18" t="str">
        <f aca="false">IF(AND(LEN(AK25)&lt;&gt;0,LEN(AL25)&lt;&gt;0),((HOUR(AL25)*60)+MINUTE(AL25))-((HOUR(AK25)*60)+MINUTE(AK25)),"")</f>
        <v/>
      </c>
      <c r="AT25" s="18" t="str">
        <f aca="false">IF(AND(LEN(AQ25)&lt;&gt;0,LEN(AR25)&lt;&gt;0),((HOUR(AR25)*60)+MINUTE(AR25))-((HOUR(AQ25)*60)+MINUTE(AQ25)),"")</f>
        <v/>
      </c>
      <c r="AY25" s="18" t="str">
        <f aca="false">IF(AND(LEN(AV25)&lt;&gt;0,LEN(AW25)&lt;&gt;0),((HOUR(AW25)*60)+MINUTE(AW25))-((HOUR(AV25)*60)+MINUTE(AV25)),"")</f>
        <v/>
      </c>
      <c r="BD25" s="18" t="str">
        <f aca="false">IF(AND(LEN(BA25)&lt;&gt;0,LEN(BB25)&lt;&gt;0),((HOUR(BB25)*60)+MINUTE(BB25))-((HOUR(BA25)*60)+MINUTE(BA25)),"")</f>
        <v/>
      </c>
      <c r="BI25" s="18" t="str">
        <f aca="false">IF(AND(LEN(BF25)&lt;&gt;0,LEN(BG25)&lt;&gt;0),((HOUR(BG25)*60)+MINUTE(BG25))-((HOUR(BF25)*60)+MINUTE(BF25)),"")</f>
        <v/>
      </c>
      <c r="BN25" s="18" t="str">
        <f aca="false">IF(AND(LEN(BK25)&lt;&gt;0,LEN(BL25)&lt;&gt;0),((HOUR(BL25)*60)+MINUTE(BL25))-((HOUR(BK25)*60)+MINUTE(BK25)),"")</f>
        <v/>
      </c>
      <c r="BT25" s="18" t="str">
        <f aca="false">IF(AND(LEN(BQ25)&lt;&gt;0,LEN(BR25)&lt;&gt;0),((HOUR(BR25)*60)+MINUTE(BR25))-((HOUR(BQ25)*60)+MINUTE(BQ25)),"")</f>
        <v/>
      </c>
      <c r="BY25" s="18" t="str">
        <f aca="false">IF(AND(LEN(BV25)&lt;&gt;0,LEN(BW25)&lt;&gt;0),((HOUR(BW25)*60)+MINUTE(BW25))-((HOUR(BV25)*60)+MINUTE(BV25)),"")</f>
        <v/>
      </c>
      <c r="BZ25" s="19" t="s">
        <v>30</v>
      </c>
      <c r="CA25" s="19" t="n">
        <v>0.744444444444445</v>
      </c>
      <c r="CB25" s="19"/>
      <c r="CC25" s="1" t="str">
        <f aca="false">"[""" &amp; BZ25 &amp; """, """ &amp; IF(CA25="","",TEXT(CA25,"h:mm")) &amp; """, """ &amp; IF(CB25="","",TEXT(CB25,"h:mm")) &amp; """]"</f>
        <v>["菱浦", "17:52", ""]</v>
      </c>
      <c r="CD25" s="18" t="str">
        <f aca="false">IF(AND(LEN(CA25)&lt;&gt;0,LEN(CB25)&lt;&gt;0),((HOUR(CB25)*60)+MINUTE(CB25))-((HOUR(CA25)*60)+MINUTE(CA25)),"")</f>
        <v/>
      </c>
      <c r="CK25" s="21" t="s">
        <v>31</v>
      </c>
      <c r="CL25" s="22" t="n">
        <v>0.574305555555556</v>
      </c>
      <c r="CM25" s="22" t="n">
        <v>0.576388888888889</v>
      </c>
      <c r="CN25" s="1" t="str">
        <f aca="false">"[""" &amp; CK25 &amp; """, """ &amp; IF(CL25="","",TEXT(CL25,"h:mm")) &amp; """, """ &amp; IF(CM25="","",TEXT(CM25,"h:mm")) &amp; """],"</f>
        <v>["来居", "13:47", "13:50"],</v>
      </c>
      <c r="CO25" s="18" t="n">
        <f aca="false">IF(AND(LEN(CL25)&lt;&gt;0,LEN(CM25)&lt;&gt;0),((HOUR(CM25)*60)+MINUTE(CM25))-((HOUR(CL25)*60)+MINUTE(CL25)),"")</f>
        <v>3</v>
      </c>
      <c r="CP25" s="21" t="s">
        <v>31</v>
      </c>
      <c r="CQ25" s="22" t="n">
        <v>0.574305555555556</v>
      </c>
      <c r="CR25" s="22" t="n">
        <v>0.576388888888889</v>
      </c>
      <c r="CS25" s="1" t="str">
        <f aca="false">"[""" &amp; CP25 &amp; """, """ &amp; IF(CQ25="","",TEXT(CQ25,"h:mm")) &amp; """, """ &amp; IF(CR25="","",TEXT(CR25,"h:mm")) &amp; """],"</f>
        <v>["来居", "13:47", "13:50"],</v>
      </c>
      <c r="CT25" s="18" t="n">
        <f aca="false">IF(AND(LEN(CQ25)&lt;&gt;0,LEN(CR25)&lt;&gt;0),((HOUR(CR25)*60)+MINUTE(CR25))-((HOUR(CQ25)*60)+MINUTE(CQ25)),"")</f>
        <v>3</v>
      </c>
      <c r="CZ25" s="19" t="s">
        <v>30</v>
      </c>
      <c r="DA25" s="19" t="n">
        <v>0.788888888888889</v>
      </c>
      <c r="DB25" s="19" t="n">
        <v>0.790277777777778</v>
      </c>
      <c r="DC25" s="1" t="str">
        <f aca="false">"[""" &amp; CZ25 &amp; """, """ &amp; IF(DA25="","",TEXT(DA25,"h:mm")) &amp; """, """ &amp; IF(DB25="","",TEXT(DB25,"h:mm")) &amp; """],"</f>
        <v>["菱浦", "18:56", "18:58"],</v>
      </c>
      <c r="DD25" s="18" t="n">
        <f aca="false">IF(AND(LEN(DA25)&lt;&gt;0,LEN(DB25)&lt;&gt;0),((HOUR(DB25)*60)+MINUTE(DB25))-((HOUR(DA25)*60)+MINUTE(DA25)),"")</f>
        <v>2</v>
      </c>
      <c r="DE25" s="19" t="s">
        <v>30</v>
      </c>
      <c r="DF25" s="19" t="n">
        <v>0.788888888888889</v>
      </c>
      <c r="DG25" s="19" t="n">
        <v>0.790277777777778</v>
      </c>
      <c r="DH25" s="1" t="str">
        <f aca="false">"[""" &amp; DE25 &amp; """, """ &amp; IF(DF25="","",TEXT(DF25,"h:mm")) &amp; """, """ &amp; IF(DG25="","",TEXT(DG25,"h:mm")) &amp; """],"</f>
        <v>["菱浦", "18:56", "18:58"],</v>
      </c>
      <c r="DI25" s="18" t="n">
        <f aca="false">IF(AND(LEN(DF25)&lt;&gt;0,LEN(DG25)&lt;&gt;0),((HOUR(DG25)*60)+MINUTE(DG25))-((HOUR(DF25)*60)+MINUTE(DF25)),"")</f>
        <v>2</v>
      </c>
    </row>
    <row r="26" customFormat="false" ht="18" hidden="false" customHeight="false" outlineLevel="0" collapsed="false">
      <c r="E26" s="18" t="str">
        <f aca="false">IF(AND(LEN(B26)&lt;&gt;0,LEN(C26)&lt;&gt;0),((HOUR(C26)*60)+MINUTE(C26))-((HOUR(B26)*60)+MINUTE(B26)),"")</f>
        <v/>
      </c>
      <c r="J26" s="18" t="str">
        <f aca="false">IF(AND(LEN(G26)&lt;&gt;0,LEN(H26)&lt;&gt;0),((HOUR(H26)*60)+MINUTE(H26))-((HOUR(G26)*60)+MINUTE(G26)),"")</f>
        <v/>
      </c>
      <c r="O26" s="18" t="str">
        <f aca="false">IF(AND(LEN(L26)&lt;&gt;0,LEN(M26)&lt;&gt;0),((HOUR(M26)*60)+MINUTE(M26))-((HOUR(L26)*60)+MINUTE(L26)),"")</f>
        <v/>
      </c>
      <c r="T26" s="18" t="str">
        <f aca="false">IF(AND(LEN(Q26)&lt;&gt;0,LEN(R26)&lt;&gt;0),((HOUR(R26)*60)+MINUTE(R26))-((HOUR(Q26)*60)+MINUTE(Q26)),"")</f>
        <v/>
      </c>
      <c r="Y26" s="18" t="str">
        <f aca="false">IF(AND(LEN(V26)&lt;&gt;0,LEN(W26)&lt;&gt;0),((HOUR(W26)*60)+MINUTE(W26))-((HOUR(V26)*60)+MINUTE(V26)),"")</f>
        <v/>
      </c>
      <c r="AD26" s="18" t="str">
        <f aca="false">IF(AND(LEN(AA26)&lt;&gt;0,LEN(AB26)&lt;&gt;0),((HOUR(AB26)*60)+MINUTE(AB26))-((HOUR(AA26)*60)+MINUTE(AA26)),"")</f>
        <v/>
      </c>
      <c r="AI26" s="18" t="str">
        <f aca="false">IF(AND(LEN(AF26)&lt;&gt;0,LEN(AG26)&lt;&gt;0),((HOUR(AG26)*60)+MINUTE(AG26))-((HOUR(AF26)*60)+MINUTE(AF26)),"")</f>
        <v/>
      </c>
      <c r="AN26" s="18" t="str">
        <f aca="false">IF(AND(LEN(AK26)&lt;&gt;0,LEN(AL26)&lt;&gt;0),((HOUR(AL26)*60)+MINUTE(AL26))-((HOUR(AK26)*60)+MINUTE(AK26)),"")</f>
        <v/>
      </c>
      <c r="AT26" s="18" t="str">
        <f aca="false">IF(AND(LEN(AQ26)&lt;&gt;0,LEN(AR26)&lt;&gt;0),((HOUR(AR26)*60)+MINUTE(AR26))-((HOUR(AQ26)*60)+MINUTE(AQ26)),"")</f>
        <v/>
      </c>
      <c r="AY26" s="18" t="str">
        <f aca="false">IF(AND(LEN(AV26)&lt;&gt;0,LEN(AW26)&lt;&gt;0),((HOUR(AW26)*60)+MINUTE(AW26))-((HOUR(AV26)*60)+MINUTE(AV26)),"")</f>
        <v/>
      </c>
      <c r="BD26" s="18" t="str">
        <f aca="false">IF(AND(LEN(BA26)&lt;&gt;0,LEN(BB26)&lt;&gt;0),((HOUR(BB26)*60)+MINUTE(BB26))-((HOUR(BA26)*60)+MINUTE(BA26)),"")</f>
        <v/>
      </c>
      <c r="BI26" s="18" t="str">
        <f aca="false">IF(AND(LEN(BF26)&lt;&gt;0,LEN(BG26)&lt;&gt;0),((HOUR(BG26)*60)+MINUTE(BG26))-((HOUR(BF26)*60)+MINUTE(BF26)),"")</f>
        <v/>
      </c>
      <c r="BN26" s="18" t="str">
        <f aca="false">IF(AND(LEN(BK26)&lt;&gt;0,LEN(BL26)&lt;&gt;0),((HOUR(BL26)*60)+MINUTE(BL26))-((HOUR(BK26)*60)+MINUTE(BK26)),"")</f>
        <v/>
      </c>
      <c r="BT26" s="18" t="str">
        <f aca="false">IF(AND(LEN(BQ26)&lt;&gt;0,LEN(BR26)&lt;&gt;0),((HOUR(BR26)*60)+MINUTE(BR26))-((HOUR(BQ26)*60)+MINUTE(BQ26)),"")</f>
        <v/>
      </c>
      <c r="BY26" s="18" t="str">
        <f aca="false">IF(AND(LEN(BV26)&lt;&gt;0,LEN(BW26)&lt;&gt;0),((HOUR(BW26)*60)+MINUTE(BW26))-((HOUR(BV26)*60)+MINUTE(BV26)),"")</f>
        <v/>
      </c>
      <c r="CC26" s="1" t="s">
        <v>33</v>
      </c>
      <c r="CD26" s="18" t="str">
        <f aca="false">IF(AND(LEN(CA26)&lt;&gt;0,LEN(CB26)&lt;&gt;0),((HOUR(CB26)*60)+MINUTE(CB26))-((HOUR(CA26)*60)+MINUTE(CA26)),"")</f>
        <v/>
      </c>
      <c r="CK26" s="20" t="s">
        <v>29</v>
      </c>
      <c r="CL26" s="20" t="n">
        <v>0.588194444444445</v>
      </c>
      <c r="CM26" s="20" t="n">
        <v>0.590277777777778</v>
      </c>
      <c r="CN26" s="1" t="str">
        <f aca="false">"[""" &amp; CK26 &amp; """, """ &amp; IF(CL26="","",TEXT(CL26,"h:mm")) &amp; """, """ &amp; IF(CM26="","",TEXT(CM26,"h:mm")) &amp; """],"</f>
        <v>["別府", "14:07", "14:10"],</v>
      </c>
      <c r="CO26" s="18" t="n">
        <f aca="false">IF(AND(LEN(CL26)&lt;&gt;0,LEN(CM26)&lt;&gt;0),((HOUR(CM26)*60)+MINUTE(CM26))-((HOUR(CL26)*60)+MINUTE(CL26)),"")</f>
        <v>3</v>
      </c>
      <c r="CP26" s="20" t="s">
        <v>29</v>
      </c>
      <c r="CQ26" s="20" t="n">
        <v>0.588194444444445</v>
      </c>
      <c r="CR26" s="20" t="n">
        <v>0.590277777777778</v>
      </c>
      <c r="CS26" s="1" t="str">
        <f aca="false">"[""" &amp; CP26 &amp; """, """ &amp; IF(CQ26="","",TEXT(CQ26,"h:mm")) &amp; """, """ &amp; IF(CR26="","",TEXT(CR26,"h:mm")) &amp; """],"</f>
        <v>["別府", "14:07", "14:10"],</v>
      </c>
      <c r="CT26" s="18" t="n">
        <f aca="false">IF(AND(LEN(CQ26)&lt;&gt;0,LEN(CR26)&lt;&gt;0),((HOUR(CR26)*60)+MINUTE(CR26))-((HOUR(CQ26)*60)+MINUTE(CQ26)),"")</f>
        <v>3</v>
      </c>
      <c r="CZ26" s="20" t="s">
        <v>29</v>
      </c>
      <c r="DA26" s="20" t="n">
        <v>0.795833333333333</v>
      </c>
      <c r="DB26" s="20" t="n">
        <v>0.797222222222222</v>
      </c>
      <c r="DC26" s="1" t="str">
        <f aca="false">"[""" &amp; CZ26 &amp; """, """ &amp; IF(DA26="","",TEXT(DA26,"h:mm")) &amp; """, """ &amp; IF(DB26="","",TEXT(DB26,"h:mm")) &amp; """],"</f>
        <v>["別府", "19:06", "19:08"],</v>
      </c>
      <c r="DD26" s="18" t="n">
        <f aca="false">IF(AND(LEN(DA26)&lt;&gt;0,LEN(DB26)&lt;&gt;0),((HOUR(DB26)*60)+MINUTE(DB26))-((HOUR(DA26)*60)+MINUTE(DA26)),"")</f>
        <v>2</v>
      </c>
      <c r="DE26" s="20" t="s">
        <v>29</v>
      </c>
      <c r="DF26" s="20" t="n">
        <v>0.795833333333333</v>
      </c>
      <c r="DG26" s="20" t="n">
        <v>0.797222222222222</v>
      </c>
      <c r="DH26" s="1" t="str">
        <f aca="false">"[""" &amp; DE26 &amp; """, """ &amp; IF(DF26="","",TEXT(DF26,"h:mm")) &amp; """, """ &amp; IF(DG26="","",TEXT(DG26,"h:mm")) &amp; """],"</f>
        <v>["別府", "19:06", "19:08"],</v>
      </c>
      <c r="DI26" s="18" t="n">
        <f aca="false">IF(AND(LEN(DF26)&lt;&gt;0,LEN(DG26)&lt;&gt;0),((HOUR(DG26)*60)+MINUTE(DG26))-((HOUR(DF26)*60)+MINUTE(DF26)),"")</f>
        <v>2</v>
      </c>
    </row>
    <row r="27" customFormat="false" ht="18" hidden="false" customHeight="false" outlineLevel="0" collapsed="false">
      <c r="CK27" s="19" t="s">
        <v>30</v>
      </c>
      <c r="CL27" s="19" t="n">
        <v>0.595138888888889</v>
      </c>
      <c r="CM27" s="19" t="n">
        <v>0.596527777777778</v>
      </c>
      <c r="CN27" s="1" t="str">
        <f aca="false">"[""" &amp; CK27 &amp; """, """ &amp; IF(CL27="","",TEXT(CL27,"h:mm")) &amp; """, """ &amp; IF(CM27="","",TEXT(CM27,"h:mm")) &amp; """],"</f>
        <v>["菱浦", "14:17", "14:19"],</v>
      </c>
      <c r="CO27" s="18" t="n">
        <f aca="false">IF(AND(LEN(CL27)&lt;&gt;0,LEN(CM27)&lt;&gt;0),((HOUR(CM27)*60)+MINUTE(CM27))-((HOUR(CL27)*60)+MINUTE(CL27)),"")</f>
        <v>2</v>
      </c>
      <c r="CP27" s="19" t="s">
        <v>30</v>
      </c>
      <c r="CQ27" s="19" t="n">
        <v>0.595138888888889</v>
      </c>
      <c r="CR27" s="19" t="n">
        <v>0.596527777777778</v>
      </c>
      <c r="CS27" s="1" t="str">
        <f aca="false">"[""" &amp; CP27 &amp; """, """ &amp; IF(CQ27="","",TEXT(CQ27,"h:mm")) &amp; """, """ &amp; IF(CR27="","",TEXT(CR27,"h:mm")) &amp; """],"</f>
        <v>["菱浦", "14:17", "14:19"],</v>
      </c>
      <c r="CT27" s="18" t="n">
        <f aca="false">IF(AND(LEN(CQ27)&lt;&gt;0,LEN(CR27)&lt;&gt;0),((HOUR(CR27)*60)+MINUTE(CR27))-((HOUR(CQ27)*60)+MINUTE(CQ27)),"")</f>
        <v>2</v>
      </c>
      <c r="CZ27" s="19" t="s">
        <v>30</v>
      </c>
      <c r="DA27" s="19" t="n">
        <v>0.802777777777778</v>
      </c>
      <c r="DB27" s="19" t="n">
        <v>0.827083333333333</v>
      </c>
      <c r="DC27" s="1" t="str">
        <f aca="false">"[""" &amp; CZ27 &amp; """, """ &amp; IF(DA27="","",TEXT(DA27,"h:mm")) &amp; """, """ &amp; IF(DB27="","",TEXT(DB27,"h:mm")) &amp; """],"</f>
        <v>["菱浦", "19:16", "19:51"],</v>
      </c>
      <c r="DD27" s="18" t="n">
        <f aca="false">IF(AND(LEN(DA27)&lt;&gt;0,LEN(DB27)&lt;&gt;0),((HOUR(DB27)*60)+MINUTE(DB27))-((HOUR(DA27)*60)+MINUTE(DA27)),"")</f>
        <v>35</v>
      </c>
      <c r="DE27" s="19" t="s">
        <v>30</v>
      </c>
      <c r="DF27" s="19" t="n">
        <v>0.802777777777778</v>
      </c>
      <c r="DG27" s="19" t="n">
        <v>0.827083333333333</v>
      </c>
      <c r="DH27" s="1" t="str">
        <f aca="false">"[""" &amp; DE27 &amp; """, """ &amp; IF(DF27="","",TEXT(DF27,"h:mm")) &amp; """, """ &amp; IF(DG27="","",TEXT(DG27,"h:mm")) &amp; """],"</f>
        <v>["菱浦", "19:16", "19:51"],</v>
      </c>
      <c r="DI27" s="18" t="n">
        <f aca="false">IF(AND(LEN(DF27)&lt;&gt;0,LEN(DG27)&lt;&gt;0),((HOUR(DG27)*60)+MINUTE(DG27))-((HOUR(DF27)*60)+MINUTE(DF27)),"")</f>
        <v>35</v>
      </c>
    </row>
    <row r="28" customFormat="false" ht="18" hidden="false" customHeight="false" outlineLevel="0" collapsed="false">
      <c r="CK28" s="21" t="s">
        <v>31</v>
      </c>
      <c r="CL28" s="22" t="n">
        <v>0.609027777777778</v>
      </c>
      <c r="CM28" s="22" t="n">
        <v>0.625</v>
      </c>
      <c r="CN28" s="1" t="str">
        <f aca="false">"[""" &amp; CK28 &amp; """, """ &amp; IF(CL28="","",TEXT(CL28,"h:mm")) &amp; """, """ &amp; IF(CM28="","",TEXT(CM28,"h:mm")) &amp; """],"</f>
        <v>["来居", "14:37", "15:00"],</v>
      </c>
      <c r="CO28" s="18" t="n">
        <f aca="false">IF(AND(LEN(CL28)&lt;&gt;0,LEN(CM28)&lt;&gt;0),((HOUR(CM28)*60)+MINUTE(CM28))-((HOUR(CL28)*60)+MINUTE(CL28)),"")</f>
        <v>23</v>
      </c>
      <c r="CP28" s="21" t="s">
        <v>31</v>
      </c>
      <c r="CQ28" s="22" t="n">
        <v>0.609027777777778</v>
      </c>
      <c r="CR28" s="22" t="n">
        <v>0.625</v>
      </c>
      <c r="CS28" s="1" t="str">
        <f aca="false">"[""" &amp; CP28 &amp; """, """ &amp; IF(CQ28="","",TEXT(CQ28,"h:mm")) &amp; """, """ &amp; IF(CR28="","",TEXT(CR28,"h:mm")) &amp; """],"</f>
        <v>["来居", "14:37", "15:00"],</v>
      </c>
      <c r="CT28" s="18" t="n">
        <f aca="false">IF(AND(LEN(CQ28)&lt;&gt;0,LEN(CR28)&lt;&gt;0),((HOUR(CR28)*60)+MINUTE(CR28))-((HOUR(CQ28)*60)+MINUTE(CQ28)),"")</f>
        <v>23</v>
      </c>
      <c r="CZ28" s="20" t="s">
        <v>29</v>
      </c>
      <c r="DA28" s="20" t="n">
        <v>0.832638888888889</v>
      </c>
      <c r="DB28" s="20" t="n">
        <v>0.834027777777778</v>
      </c>
      <c r="DC28" s="1" t="str">
        <f aca="false">"[""" &amp; CZ28 &amp; """, """ &amp; IF(DA28="","",TEXT(DA28,"h:mm")) &amp; """, """ &amp; IF(DB28="","",TEXT(DB28,"h:mm")) &amp; """],"</f>
        <v>["別府", "19:59", "20:01"],</v>
      </c>
      <c r="DD28" s="18" t="n">
        <f aca="false">IF(AND(LEN(DA28)&lt;&gt;0,LEN(DB28)&lt;&gt;0),((HOUR(DB28)*60)+MINUTE(DB28))-((HOUR(DA28)*60)+MINUTE(DA28)),"")</f>
        <v>2</v>
      </c>
      <c r="DE28" s="20" t="s">
        <v>29</v>
      </c>
      <c r="DF28" s="20" t="n">
        <v>0.832638888888889</v>
      </c>
      <c r="DG28" s="20" t="n">
        <v>0.834027777777778</v>
      </c>
      <c r="DH28" s="1" t="str">
        <f aca="false">"[""" &amp; DE28 &amp; """, """ &amp; IF(DF28="","",TEXT(DF28,"h:mm")) &amp; """, """ &amp; IF(DG28="","",TEXT(DG28,"h:mm")) &amp; """],"</f>
        <v>["別府", "19:59", "20:01"],</v>
      </c>
      <c r="DI28" s="18" t="n">
        <f aca="false">IF(AND(LEN(DF28)&lt;&gt;0,LEN(DG28)&lt;&gt;0),((HOUR(DG28)*60)+MINUTE(DG28))-((HOUR(DF28)*60)+MINUTE(DF28)),"")</f>
        <v>2</v>
      </c>
    </row>
    <row r="29" customFormat="false" ht="18" hidden="false" customHeight="false" outlineLevel="0" collapsed="false">
      <c r="CK29" s="20" t="s">
        <v>29</v>
      </c>
      <c r="CL29" s="20" t="n">
        <v>0.636805555555556</v>
      </c>
      <c r="CM29" s="20" t="n">
        <v>0.645833333333333</v>
      </c>
      <c r="CN29" s="1" t="str">
        <f aca="false">"[""" &amp; CK29 &amp; """, """ &amp; IF(CL29="","",TEXT(CL29,"h:mm")) &amp; """, """ &amp; IF(CM29="","",TEXT(CM29,"h:mm")) &amp; """],"</f>
        <v>["別府", "15:17", "15:30"],</v>
      </c>
      <c r="CO29" s="18" t="n">
        <f aca="false">IF(AND(LEN(CL29)&lt;&gt;0,LEN(CM29)&lt;&gt;0),((HOUR(CM29)*60)+MINUTE(CM29))-((HOUR(CL29)*60)+MINUTE(CL29)),"")</f>
        <v>13</v>
      </c>
      <c r="CP29" s="20" t="s">
        <v>29</v>
      </c>
      <c r="CQ29" s="20" t="n">
        <v>0.636805555555556</v>
      </c>
      <c r="CR29" s="20" t="n">
        <v>0.645833333333333</v>
      </c>
      <c r="CS29" s="1" t="str">
        <f aca="false">"[""" &amp; CP29 &amp; """, """ &amp; IF(CQ29="","",TEXT(CQ29,"h:mm")) &amp; """, """ &amp; IF(CR29="","",TEXT(CR29,"h:mm")) &amp; """],"</f>
        <v>["別府", "15:17", "15:30"],</v>
      </c>
      <c r="CT29" s="18" t="n">
        <f aca="false">IF(AND(LEN(CQ29)&lt;&gt;0,LEN(CR29)&lt;&gt;0),((HOUR(CR29)*60)+MINUTE(CR29))-((HOUR(CQ29)*60)+MINUTE(CQ29)),"")</f>
        <v>13</v>
      </c>
      <c r="CZ29" s="19" t="s">
        <v>30</v>
      </c>
      <c r="DA29" s="19" t="n">
        <v>0.839583333333333</v>
      </c>
      <c r="DB29" s="19" t="n">
        <v>0.871527777777778</v>
      </c>
      <c r="DC29" s="1" t="str">
        <f aca="false">"[""" &amp; CZ29 &amp; """, """ &amp; IF(DA29="","",TEXT(DA29,"h:mm")) &amp; """, """ &amp; IF(DB29="","",TEXT(DB29,"h:mm")) &amp; """],"</f>
        <v>["菱浦", "20:09", "20:55"],</v>
      </c>
      <c r="DD29" s="18" t="n">
        <f aca="false">IF(AND(LEN(DA29)&lt;&gt;0,LEN(DB29)&lt;&gt;0),((HOUR(DB29)*60)+MINUTE(DB29))-((HOUR(DA29)*60)+MINUTE(DA29)),"")</f>
        <v>46</v>
      </c>
      <c r="DE29" s="19" t="s">
        <v>30</v>
      </c>
      <c r="DF29" s="19" t="n">
        <v>0.839583333333333</v>
      </c>
      <c r="DG29" s="19" t="n">
        <v>0.871527777777778</v>
      </c>
      <c r="DH29" s="1" t="str">
        <f aca="false">"[""" &amp; DE29 &amp; """, """ &amp; IF(DF29="","",TEXT(DF29,"h:mm")) &amp; """, """ &amp; IF(DG29="","",TEXT(DG29,"h:mm")) &amp; """],"</f>
        <v>["菱浦", "20:09", "20:55"],</v>
      </c>
      <c r="DI29" s="18" t="n">
        <f aca="false">IF(AND(LEN(DF29)&lt;&gt;0,LEN(DG29)&lt;&gt;0),((HOUR(DG29)*60)+MINUTE(DG29))-((HOUR(DF29)*60)+MINUTE(DF29)),"")</f>
        <v>46</v>
      </c>
    </row>
    <row r="30" customFormat="false" ht="18" hidden="false" customHeight="false" outlineLevel="0" collapsed="false">
      <c r="CK30" s="19" t="s">
        <v>30</v>
      </c>
      <c r="CL30" s="19" t="n">
        <v>0.650694444444445</v>
      </c>
      <c r="CM30" s="19" t="n">
        <v>0.652777777777778</v>
      </c>
      <c r="CN30" s="1" t="str">
        <f aca="false">"[""" &amp; CK30 &amp; """, """ &amp; IF(CL30="","",TEXT(CL30,"h:mm")) &amp; """, """ &amp; IF(CM30="","",TEXT(CM30,"h:mm")) &amp; """],"</f>
        <v>["菱浦", "15:37", "15:40"],</v>
      </c>
      <c r="CO30" s="18" t="n">
        <f aca="false">IF(AND(LEN(CL30)&lt;&gt;0,LEN(CM30)&lt;&gt;0),((HOUR(CM30)*60)+MINUTE(CM30))-((HOUR(CL30)*60)+MINUTE(CL30)),"")</f>
        <v>3</v>
      </c>
      <c r="CP30" s="19" t="s">
        <v>30</v>
      </c>
      <c r="CQ30" s="19" t="n">
        <v>0.650694444444445</v>
      </c>
      <c r="CR30" s="19" t="n">
        <v>0.652777777777778</v>
      </c>
      <c r="CS30" s="1" t="str">
        <f aca="false">"[""" &amp; CP30 &amp; """, """ &amp; IF(CQ30="","",TEXT(CQ30,"h:mm")) &amp; """, """ &amp; IF(CR30="","",TEXT(CR30,"h:mm")) &amp; """],"</f>
        <v>["菱浦", "15:37", "15:40"],</v>
      </c>
      <c r="CT30" s="18" t="n">
        <f aca="false">IF(AND(LEN(CQ30)&lt;&gt;0,LEN(CR30)&lt;&gt;0),((HOUR(CR30)*60)+MINUTE(CR30))-((HOUR(CQ30)*60)+MINUTE(CQ30)),"")</f>
        <v>3</v>
      </c>
      <c r="CZ30" s="20" t="s">
        <v>29</v>
      </c>
      <c r="DA30" s="20" t="n">
        <v>0.877083333333333</v>
      </c>
      <c r="DB30" s="20" t="n">
        <v>0.878472222222222</v>
      </c>
      <c r="DC30" s="1" t="str">
        <f aca="false">"[""" &amp; CZ30 &amp; """, """ &amp; IF(DA30="","",TEXT(DA30,"h:mm")) &amp; """, """ &amp; IF(DB30="","",TEXT(DB30,"h:mm")) &amp; """],"</f>
        <v>["別府", "21:03", "21:05"],</v>
      </c>
      <c r="DD30" s="18" t="n">
        <f aca="false">IF(AND(LEN(DA30)&lt;&gt;0,LEN(DB30)&lt;&gt;0),((HOUR(DB30)*60)+MINUTE(DB30))-((HOUR(DA30)*60)+MINUTE(DA30)),"")</f>
        <v>2</v>
      </c>
      <c r="DE30" s="20" t="s">
        <v>29</v>
      </c>
      <c r="DF30" s="20" t="n">
        <v>0.877083333333333</v>
      </c>
      <c r="DG30" s="20" t="n">
        <v>0.878472222222222</v>
      </c>
      <c r="DH30" s="1" t="str">
        <f aca="false">"[""" &amp; DE30 &amp; """, """ &amp; IF(DF30="","",TEXT(DF30,"h:mm")) &amp; """, """ &amp; IF(DG30="","",TEXT(DG30,"h:mm")) &amp; """],"</f>
        <v>["別府", "21:03", "21:05"],</v>
      </c>
      <c r="DI30" s="18" t="n">
        <f aca="false">IF(AND(LEN(DF30)&lt;&gt;0,LEN(DG30)&lt;&gt;0),((HOUR(DG30)*60)+MINUTE(DG30))-((HOUR(DF30)*60)+MINUTE(DF30)),"")</f>
        <v>2</v>
      </c>
    </row>
    <row r="31" customFormat="false" ht="18" hidden="false" customHeight="false" outlineLevel="0" collapsed="false">
      <c r="CK31" s="20" t="s">
        <v>29</v>
      </c>
      <c r="CL31" s="20" t="n">
        <v>0.657638888888889</v>
      </c>
      <c r="CM31" s="20" t="n">
        <v>0.673611111111111</v>
      </c>
      <c r="CN31" s="1" t="str">
        <f aca="false">"[""" &amp; CK31 &amp; """, """ &amp; IF(CL31="","",TEXT(CL31,"h:mm")) &amp; """, """ &amp; IF(CM31="","",TEXT(CM31,"h:mm")) &amp; """],"</f>
        <v>["別府", "15:47", "16:10"],</v>
      </c>
      <c r="CO31" s="18" t="n">
        <f aca="false">IF(AND(LEN(CL31)&lt;&gt;0,LEN(CM31)&lt;&gt;0),((HOUR(CM31)*60)+MINUTE(CM31))-((HOUR(CL31)*60)+MINUTE(CL31)),"")</f>
        <v>23</v>
      </c>
      <c r="CP31" s="20" t="s">
        <v>29</v>
      </c>
      <c r="CQ31" s="20" t="n">
        <v>0.657638888888889</v>
      </c>
      <c r="CR31" s="20" t="n">
        <v>0.673611111111111</v>
      </c>
      <c r="CS31" s="1" t="str">
        <f aca="false">"[""" &amp; CP31 &amp; """, """ &amp; IF(CQ31="","",TEXT(CQ31,"h:mm")) &amp; """, """ &amp; IF(CR31="","",TEXT(CR31,"h:mm")) &amp; """],"</f>
        <v>["別府", "15:47", "16:10"],</v>
      </c>
      <c r="CT31" s="18" t="n">
        <f aca="false">IF(AND(LEN(CQ31)&lt;&gt;0,LEN(CR31)&lt;&gt;0),((HOUR(CR31)*60)+MINUTE(CR31))-((HOUR(CQ31)*60)+MINUTE(CQ31)),"")</f>
        <v>23</v>
      </c>
      <c r="CZ31" s="19" t="s">
        <v>30</v>
      </c>
      <c r="DA31" s="19" t="n">
        <v>0.884027777777778</v>
      </c>
      <c r="DB31" s="19" t="n">
        <v>0.915972222222222</v>
      </c>
      <c r="DC31" s="1" t="str">
        <f aca="false">"[""" &amp; CZ31 &amp; """, """ &amp; IF(DA31="","",TEXT(DA31,"h:mm")) &amp; """, """ &amp; IF(DB31="","",TEXT(DB31,"h:mm")) &amp; """],"</f>
        <v>["菱浦", "21:13", "21:59"],</v>
      </c>
      <c r="DD31" s="18" t="n">
        <f aca="false">IF(AND(LEN(DA31)&lt;&gt;0,LEN(DB31)&lt;&gt;0),((HOUR(DB31)*60)+MINUTE(DB31))-((HOUR(DA31)*60)+MINUTE(DA31)),"")</f>
        <v>46</v>
      </c>
      <c r="DE31" s="19" t="s">
        <v>30</v>
      </c>
      <c r="DF31" s="19" t="n">
        <v>0.884027777777778</v>
      </c>
      <c r="DG31" s="19" t="n">
        <v>0.915972222222222</v>
      </c>
      <c r="DH31" s="1" t="str">
        <f aca="false">"[""" &amp; DE31 &amp; """, """ &amp; IF(DF31="","",TEXT(DF31,"h:mm")) &amp; """, """ &amp; IF(DG31="","",TEXT(DG31,"h:mm")) &amp; """],"</f>
        <v>["菱浦", "21:13", "21:59"],</v>
      </c>
      <c r="DI31" s="18" t="n">
        <f aca="false">IF(AND(LEN(DF31)&lt;&gt;0,LEN(DG31)&lt;&gt;0),((HOUR(DG31)*60)+MINUTE(DG31))-((HOUR(DF31)*60)+MINUTE(DF31)),"")</f>
        <v>46</v>
      </c>
    </row>
    <row r="32" customFormat="false" ht="18" hidden="false" customHeight="false" outlineLevel="0" collapsed="false">
      <c r="CK32" s="21" t="s">
        <v>31</v>
      </c>
      <c r="CL32" s="22" t="n">
        <v>0.685416666666667</v>
      </c>
      <c r="CM32" s="22" t="n">
        <v>0.686805555555556</v>
      </c>
      <c r="CN32" s="1" t="str">
        <f aca="false">"[""" &amp; CK32 &amp; """, """ &amp; IF(CL32="","",TEXT(CL32,"h:mm")) &amp; """, """ &amp; IF(CM32="","",TEXT(CM32,"h:mm")) &amp; """],"</f>
        <v>["来居", "16:27", "16:29"],</v>
      </c>
      <c r="CO32" s="18" t="n">
        <f aca="false">IF(AND(LEN(CL32)&lt;&gt;0,LEN(CM32)&lt;&gt;0),((HOUR(CM32)*60)+MINUTE(CM32))-((HOUR(CL32)*60)+MINUTE(CL32)),"")</f>
        <v>2</v>
      </c>
      <c r="CP32" s="21" t="s">
        <v>31</v>
      </c>
      <c r="CQ32" s="22" t="n">
        <v>0.685416666666667</v>
      </c>
      <c r="CR32" s="22" t="n">
        <v>0.686805555555556</v>
      </c>
      <c r="CS32" s="1" t="str">
        <f aca="false">"[""" &amp; CP32 &amp; """, """ &amp; IF(CQ32="","",TEXT(CQ32,"h:mm")) &amp; """, """ &amp; IF(CR32="","",TEXT(CR32,"h:mm")) &amp; """],"</f>
        <v>["来居", "16:27", "16:29"],</v>
      </c>
      <c r="CT32" s="18" t="n">
        <f aca="false">IF(AND(LEN(CQ32)&lt;&gt;0,LEN(CR32)&lt;&gt;0),((HOUR(CR32)*60)+MINUTE(CR32))-((HOUR(CQ32)*60)+MINUTE(CQ32)),"")</f>
        <v>2</v>
      </c>
      <c r="CZ32" s="20" t="s">
        <v>29</v>
      </c>
      <c r="DA32" s="20" t="n">
        <v>0.921527777777778</v>
      </c>
      <c r="DB32" s="22"/>
      <c r="DC32" s="1" t="str">
        <f aca="false">"[""" &amp; CZ32 &amp; """, """ &amp; IF(DA32="","",TEXT(DA32,"h:mm")) &amp; """, """ &amp; IF(DB32="","",TEXT(DB32,"h:mm")) &amp; """]"</f>
        <v>["別府", "22:07", ""]</v>
      </c>
      <c r="DD32" s="18" t="str">
        <f aca="false">IF(AND(LEN(DA32)&lt;&gt;0,LEN(DB32)&lt;&gt;0),((HOUR(DB32)*60)+MINUTE(DB32))-((HOUR(DA32)*60)+MINUTE(DA32)),"")</f>
        <v/>
      </c>
      <c r="DE32" s="20" t="s">
        <v>29</v>
      </c>
      <c r="DF32" s="20" t="n">
        <v>0.921527777777778</v>
      </c>
      <c r="DG32" s="22"/>
      <c r="DH32" s="1" t="str">
        <f aca="false">"[""" &amp; DE32 &amp; """, """ &amp; IF(DF32="","",TEXT(DF32,"h:mm")) &amp; """, """ &amp; IF(DG32="","",TEXT(DG32,"h:mm")) &amp; """]"</f>
        <v>["別府", "22:07", ""]</v>
      </c>
      <c r="DI32" s="18" t="str">
        <f aca="false">IF(AND(LEN(DF32)&lt;&gt;0,LEN(DG32)&lt;&gt;0),((HOUR(DG32)*60)+MINUTE(DG32))-((HOUR(DF32)*60)+MINUTE(DF32)),"")</f>
        <v/>
      </c>
    </row>
    <row r="33" customFormat="false" ht="18" hidden="false" customHeight="false" outlineLevel="0" collapsed="false">
      <c r="CK33" s="19" t="s">
        <v>30</v>
      </c>
      <c r="CL33" s="19" t="n">
        <v>0.699305555555556</v>
      </c>
      <c r="CM33" s="19" t="n">
        <v>0.700694444444444</v>
      </c>
      <c r="CN33" s="1" t="str">
        <f aca="false">"[""" &amp; CK33 &amp; """, """ &amp; IF(CL33="","",TEXT(CL33,"h:mm")) &amp; """, """ &amp; IF(CM33="","",TEXT(CM33,"h:mm")) &amp; """],"</f>
        <v>["菱浦", "16:47", "16:49"],</v>
      </c>
      <c r="CO33" s="18" t="n">
        <f aca="false">IF(AND(LEN(CL33)&lt;&gt;0,LEN(CM33)&lt;&gt;0),((HOUR(CM33)*60)+MINUTE(CM33))-((HOUR(CL33)*60)+MINUTE(CL33)),"")</f>
        <v>2</v>
      </c>
      <c r="CP33" s="19" t="s">
        <v>30</v>
      </c>
      <c r="CQ33" s="19" t="n">
        <v>0.699305555555556</v>
      </c>
      <c r="CR33" s="19" t="n">
        <v>0.700694444444444</v>
      </c>
      <c r="CS33" s="1" t="str">
        <f aca="false">"[""" &amp; CP33 &amp; """, """ &amp; IF(CQ33="","",TEXT(CQ33,"h:mm")) &amp; """, """ &amp; IF(CR33="","",TEXT(CR33,"h:mm")) &amp; """],"</f>
        <v>["菱浦", "16:47", "16:49"],</v>
      </c>
      <c r="CT33" s="18" t="n">
        <f aca="false">IF(AND(LEN(CQ33)&lt;&gt;0,LEN(CR33)&lt;&gt;0),((HOUR(CR33)*60)+MINUTE(CR33))-((HOUR(CQ33)*60)+MINUTE(CQ33)),"")</f>
        <v>2</v>
      </c>
      <c r="CZ33" s="19"/>
      <c r="DA33" s="19"/>
      <c r="DB33" s="19"/>
      <c r="DC33" s="1" t="s">
        <v>33</v>
      </c>
      <c r="DD33" s="18" t="str">
        <f aca="false">IF(AND(LEN(DA33)&lt;&gt;0,LEN(DB33)&lt;&gt;0),((HOUR(DB33)*60)+MINUTE(DB33))-((HOUR(DA33)*60)+MINUTE(DA33)),"")</f>
        <v/>
      </c>
      <c r="DE33" s="19"/>
      <c r="DF33" s="19"/>
      <c r="DG33" s="19"/>
      <c r="DH33" s="1" t="s">
        <v>33</v>
      </c>
      <c r="DI33" s="18" t="str">
        <f aca="false">IF(AND(LEN(DF33)&lt;&gt;0,LEN(DG33)&lt;&gt;0),((HOUR(DG33)*60)+MINUTE(DG33))-((HOUR(DF33)*60)+MINUTE(DF33)),"")</f>
        <v/>
      </c>
    </row>
    <row r="34" customFormat="false" ht="18" hidden="false" customHeight="false" outlineLevel="0" collapsed="false">
      <c r="CK34" s="20" t="s">
        <v>29</v>
      </c>
      <c r="CL34" s="20" t="n">
        <v>0.705555555555556</v>
      </c>
      <c r="CM34" s="20" t="n">
        <v>0.722222222222222</v>
      </c>
      <c r="CN34" s="1" t="str">
        <f aca="false">"[""" &amp; CK34 &amp; """, """ &amp; IF(CL34="","",TEXT(CL34,"h:mm")) &amp; """, """ &amp; IF(CM34="","",TEXT(CM34,"h:mm")) &amp; """],"</f>
        <v>["別府", "16:56", "17:20"],</v>
      </c>
      <c r="CO34" s="18" t="n">
        <f aca="false">IF(AND(LEN(CL34)&lt;&gt;0,LEN(CM34)&lt;&gt;0),((HOUR(CM34)*60)+MINUTE(CM34))-((HOUR(CL34)*60)+MINUTE(CL34)),"")</f>
        <v>24</v>
      </c>
      <c r="CP34" s="20" t="s">
        <v>29</v>
      </c>
      <c r="CQ34" s="20" t="n">
        <v>0.705555555555556</v>
      </c>
      <c r="CR34" s="20" t="n">
        <v>0.722222222222222</v>
      </c>
      <c r="CS34" s="1" t="str">
        <f aca="false">"[""" &amp; CP34 &amp; """, """ &amp; IF(CQ34="","",TEXT(CQ34,"h:mm")) &amp; """, """ &amp; IF(CR34="","",TEXT(CR34,"h:mm")) &amp; """],"</f>
        <v>["別府", "16:56", "17:20"],</v>
      </c>
      <c r="CT34" s="18" t="n">
        <f aca="false">IF(AND(LEN(CQ34)&lt;&gt;0,LEN(CR34)&lt;&gt;0),((HOUR(CR34)*60)+MINUTE(CR34))-((HOUR(CQ34)*60)+MINUTE(CQ34)),"")</f>
        <v>24</v>
      </c>
      <c r="CZ34" s="19"/>
      <c r="DA34" s="19"/>
      <c r="DB34" s="19"/>
      <c r="DD34" s="18"/>
      <c r="DE34" s="19"/>
      <c r="DF34" s="19"/>
      <c r="DG34" s="19"/>
      <c r="DI34" s="18"/>
    </row>
    <row r="35" customFormat="false" ht="18" hidden="false" customHeight="false" outlineLevel="0" collapsed="false">
      <c r="CK35" s="19" t="s">
        <v>30</v>
      </c>
      <c r="CL35" s="19" t="n">
        <v>0.727083333333333</v>
      </c>
      <c r="CM35" s="29" t="n">
        <v>0.728472222222222</v>
      </c>
      <c r="CN35" s="1" t="str">
        <f aca="false">"[""" &amp; CK35 &amp; """, """ &amp; IF(CL35="","",TEXT(CL35,"h:mm")) &amp; """, """ &amp; IF(CM35="","",TEXT(CM35,"h:mm")) &amp; """],"</f>
        <v>["菱浦", "17:27", "17:29"],</v>
      </c>
      <c r="CO35" s="18" t="n">
        <f aca="false">IF(AND(LEN(CL35)&lt;&gt;0,LEN(CM35)&lt;&gt;0),((HOUR(CM35)*60)+MINUTE(CM35))-((HOUR(CL35)*60)+MINUTE(CL35)),"")</f>
        <v>2</v>
      </c>
      <c r="CP35" s="19" t="s">
        <v>30</v>
      </c>
      <c r="CQ35" s="19" t="n">
        <v>0.727083333333333</v>
      </c>
      <c r="CR35" s="29" t="n">
        <v>0.735416666666667</v>
      </c>
      <c r="CS35" s="1" t="str">
        <f aca="false">"[""" &amp; CP35 &amp; """, """ &amp; IF(CQ35="","",TEXT(CQ35,"h:mm")) &amp; """, """ &amp; IF(CR35="","",TEXT(CR35,"h:mm")) &amp; """],"</f>
        <v>["菱浦", "17:27", "17:39"],</v>
      </c>
      <c r="CT35" s="18" t="n">
        <f aca="false">IF(AND(LEN(CQ35)&lt;&gt;0,LEN(CR35)&lt;&gt;0),((HOUR(CR35)*60)+MINUTE(CR35))-((HOUR(CQ35)*60)+MINUTE(CQ35)),"")</f>
        <v>12</v>
      </c>
      <c r="CZ35" s="21"/>
      <c r="DA35" s="22"/>
      <c r="DB35" s="22"/>
      <c r="DD35" s="18"/>
      <c r="DE35" s="21"/>
      <c r="DF35" s="22"/>
      <c r="DG35" s="22"/>
      <c r="DI35" s="18"/>
    </row>
    <row r="36" customFormat="false" ht="18" hidden="false" customHeight="false" outlineLevel="0" collapsed="false">
      <c r="CK36" s="21" t="s">
        <v>31</v>
      </c>
      <c r="CL36" s="31" t="n">
        <v>0.740972222222222</v>
      </c>
      <c r="CM36" s="31" t="n">
        <v>0.742361111111111</v>
      </c>
      <c r="CN36" s="1" t="str">
        <f aca="false">"[""" &amp; CK36 &amp; """, """ &amp; IF(CL36="","",TEXT(CL36,"h:mm")) &amp; """, """ &amp; IF(CM36="","",TEXT(CM36,"h:mm")) &amp; """],"</f>
        <v>["来居", "17:47", "17:49"],</v>
      </c>
      <c r="CO36" s="18" t="n">
        <f aca="false">IF(AND(LEN(CL36)&lt;&gt;0,LEN(CM36)&lt;&gt;0),((HOUR(CM36)*60)+MINUTE(CM36))-((HOUR(CL36)*60)+MINUTE(CL36)),"")</f>
        <v>2</v>
      </c>
      <c r="CP36" s="21" t="s">
        <v>31</v>
      </c>
      <c r="CQ36" s="31" t="n">
        <v>0.747916666666667</v>
      </c>
      <c r="CR36" s="31" t="n">
        <v>0.749305555555556</v>
      </c>
      <c r="CS36" s="1" t="str">
        <f aca="false">"[""" &amp; CP36 &amp; """, """ &amp; IF(CQ36="","",TEXT(CQ36,"h:mm")) &amp; """, """ &amp; IF(CR36="","",TEXT(CR36,"h:mm")) &amp; """],"</f>
        <v>["来居", "17:57", "17:59"],</v>
      </c>
      <c r="CT36" s="18" t="n">
        <f aca="false">IF(AND(LEN(CQ36)&lt;&gt;0,LEN(CR36)&lt;&gt;0),((HOUR(CR36)*60)+MINUTE(CR36))-((HOUR(CQ36)*60)+MINUTE(CQ36)),"")</f>
        <v>2</v>
      </c>
      <c r="CZ36" s="19"/>
      <c r="DA36" s="19"/>
      <c r="DB36" s="19"/>
      <c r="DD36" s="18"/>
      <c r="DE36" s="19"/>
      <c r="DF36" s="19"/>
      <c r="DG36" s="19"/>
      <c r="DI36" s="18"/>
    </row>
    <row r="37" customFormat="false" ht="18" hidden="false" customHeight="false" outlineLevel="0" collapsed="false">
      <c r="CK37" s="19" t="s">
        <v>30</v>
      </c>
      <c r="CL37" s="29" t="n">
        <v>0.754861111111111</v>
      </c>
      <c r="CM37" s="29" t="n">
        <v>0.75625</v>
      </c>
      <c r="CN37" s="1" t="str">
        <f aca="false">"[""" &amp; CK37 &amp; """, """ &amp; IF(CL37="","",TEXT(CL37,"h:mm")) &amp; """, """ &amp; IF(CM37="","",TEXT(CM37,"h:mm")) &amp; """],"</f>
        <v>["菱浦", "18:07", "18:09"],</v>
      </c>
      <c r="CO37" s="18" t="n">
        <f aca="false">IF(AND(LEN(CL37)&lt;&gt;0,LEN(CM37)&lt;&gt;0),((HOUR(CM37)*60)+MINUTE(CM37))-((HOUR(CL37)*60)+MINUTE(CL37)),"")</f>
        <v>2</v>
      </c>
      <c r="CP37" s="19" t="s">
        <v>30</v>
      </c>
      <c r="CQ37" s="29" t="n">
        <v>0.761805555555556</v>
      </c>
      <c r="CR37" s="29" t="n">
        <v>0.763194444444444</v>
      </c>
      <c r="CS37" s="1" t="str">
        <f aca="false">"[""" &amp; CP37 &amp; """, """ &amp; IF(CQ37="","",TEXT(CQ37,"h:mm")) &amp; """, """ &amp; IF(CR37="","",TEXT(CR37,"h:mm")) &amp; """],"</f>
        <v>["菱浦", "18:17", "18:19"],</v>
      </c>
      <c r="CT37" s="18" t="n">
        <f aca="false">IF(AND(LEN(CQ37)&lt;&gt;0,LEN(CR37)&lt;&gt;0),((HOUR(CR37)*60)+MINUTE(CR37))-((HOUR(CQ37)*60)+MINUTE(CQ37)),"")</f>
        <v>2</v>
      </c>
      <c r="CZ37" s="19"/>
      <c r="DA37" s="19"/>
      <c r="DB37" s="19"/>
      <c r="DD37" s="18"/>
      <c r="DE37" s="19"/>
      <c r="DF37" s="19"/>
      <c r="DG37" s="19"/>
      <c r="DI37" s="18"/>
    </row>
    <row r="38" customFormat="false" ht="18" hidden="false" customHeight="false" outlineLevel="0" collapsed="false">
      <c r="CK38" s="20" t="s">
        <v>29</v>
      </c>
      <c r="CL38" s="30" t="n">
        <v>0.761111111111111</v>
      </c>
      <c r="CM38" s="20" t="n">
        <v>0.783333333333333</v>
      </c>
      <c r="CN38" s="1" t="str">
        <f aca="false">"[""" &amp; CK38 &amp; """, """ &amp; IF(CL38="","",TEXT(CL38,"h:mm")) &amp; """, """ &amp; IF(CM38="","",TEXT(CM38,"h:mm")) &amp; """],"</f>
        <v>["別府", "18:16", "18:48"],</v>
      </c>
      <c r="CO38" s="18" t="n">
        <f aca="false">IF(AND(LEN(CL38)&lt;&gt;0,LEN(CM38)&lt;&gt;0),((HOUR(CM38)*60)+MINUTE(CM38))-((HOUR(CL38)*60)+MINUTE(CL38)),"")</f>
        <v>32</v>
      </c>
      <c r="CP38" s="20" t="s">
        <v>29</v>
      </c>
      <c r="CQ38" s="30" t="n">
        <v>0.768055555555556</v>
      </c>
      <c r="CR38" s="20" t="n">
        <v>0.783333333333333</v>
      </c>
      <c r="CS38" s="1" t="str">
        <f aca="false">"[""" &amp; CP38 &amp; """, """ &amp; IF(CQ38="","",TEXT(CQ38,"h:mm")) &amp; """, """ &amp; IF(CR38="","",TEXT(CR38,"h:mm")) &amp; """],"</f>
        <v>["別府", "18:26", "18:48"],</v>
      </c>
      <c r="CT38" s="18" t="n">
        <f aca="false">IF(AND(LEN(CQ38)&lt;&gt;0,LEN(CR38)&lt;&gt;0),((HOUR(CR38)*60)+MINUTE(CR38))-((HOUR(CQ38)*60)+MINUTE(CQ38)),"")</f>
        <v>22</v>
      </c>
      <c r="CZ38" s="20"/>
      <c r="DA38" s="20"/>
      <c r="DB38" s="20"/>
      <c r="DD38" s="18"/>
      <c r="DE38" s="20"/>
      <c r="DF38" s="20"/>
      <c r="DG38" s="20"/>
      <c r="DI38" s="18"/>
    </row>
    <row r="39" customFormat="false" ht="18" hidden="false" customHeight="false" outlineLevel="0" collapsed="false">
      <c r="CK39" s="19" t="s">
        <v>30</v>
      </c>
      <c r="CL39" s="19" t="n">
        <v>0.788888888888889</v>
      </c>
      <c r="CM39" s="19" t="n">
        <v>0.790277777777778</v>
      </c>
      <c r="CN39" s="1" t="str">
        <f aca="false">"[""" &amp; CK39 &amp; """, """ &amp; IF(CL39="","",TEXT(CL39,"h:mm")) &amp; """, """ &amp; IF(CM39="","",TEXT(CM39,"h:mm")) &amp; """],"</f>
        <v>["菱浦", "18:56", "18:58"],</v>
      </c>
      <c r="CO39" s="18" t="n">
        <f aca="false">IF(AND(LEN(CL39)&lt;&gt;0,LEN(CM39)&lt;&gt;0),((HOUR(CM39)*60)+MINUTE(CM39))-((HOUR(CL39)*60)+MINUTE(CL39)),"")</f>
        <v>2</v>
      </c>
      <c r="CP39" s="19" t="s">
        <v>30</v>
      </c>
      <c r="CQ39" s="19" t="n">
        <v>0.788888888888889</v>
      </c>
      <c r="CR39" s="19" t="n">
        <v>0.790277777777778</v>
      </c>
      <c r="CS39" s="1" t="str">
        <f aca="false">"[""" &amp; CP39 &amp; """, """ &amp; IF(CQ39="","",TEXT(CQ39,"h:mm")) &amp; """, """ &amp; IF(CR39="","",TEXT(CR39,"h:mm")) &amp; """],"</f>
        <v>["菱浦", "18:56", "18:58"],</v>
      </c>
      <c r="CT39" s="18" t="n">
        <f aca="false">IF(AND(LEN(CQ39)&lt;&gt;0,LEN(CR39)&lt;&gt;0),((HOUR(CR39)*60)+MINUTE(CR39))-((HOUR(CQ39)*60)+MINUTE(CQ39)),"")</f>
        <v>2</v>
      </c>
      <c r="CZ39" s="20"/>
      <c r="DA39" s="20"/>
      <c r="DB39" s="20"/>
      <c r="DD39" s="18"/>
      <c r="DE39" s="20"/>
      <c r="DF39" s="20"/>
      <c r="DG39" s="20"/>
      <c r="DI39" s="18"/>
    </row>
    <row r="40" customFormat="false" ht="18" hidden="false" customHeight="false" outlineLevel="0" collapsed="false">
      <c r="CK40" s="20" t="s">
        <v>29</v>
      </c>
      <c r="CL40" s="20" t="n">
        <v>0.795833333333333</v>
      </c>
      <c r="CM40" s="20" t="n">
        <v>0.797222222222222</v>
      </c>
      <c r="CN40" s="1" t="str">
        <f aca="false">"[""" &amp; CK40 &amp; """, """ &amp; IF(CL40="","",TEXT(CL40,"h:mm")) &amp; """, """ &amp; IF(CM40="","",TEXT(CM40,"h:mm")) &amp; """],"</f>
        <v>["別府", "19:06", "19:08"],</v>
      </c>
      <c r="CO40" s="18" t="n">
        <f aca="false">IF(AND(LEN(CL40)&lt;&gt;0,LEN(CM40)&lt;&gt;0),((HOUR(CM40)*60)+MINUTE(CM40))-((HOUR(CL40)*60)+MINUTE(CL40)),"")</f>
        <v>2</v>
      </c>
      <c r="CP40" s="20" t="s">
        <v>29</v>
      </c>
      <c r="CQ40" s="20" t="n">
        <v>0.795833333333333</v>
      </c>
      <c r="CR40" s="20" t="n">
        <v>0.797222222222222</v>
      </c>
      <c r="CS40" s="1" t="str">
        <f aca="false">"[""" &amp; CP40 &amp; """, """ &amp; IF(CQ40="","",TEXT(CQ40,"h:mm")) &amp; """, """ &amp; IF(CR40="","",TEXT(CR40,"h:mm")) &amp; """],"</f>
        <v>["別府", "19:06", "19:08"],</v>
      </c>
      <c r="CT40" s="18" t="n">
        <f aca="false">IF(AND(LEN(CQ40)&lt;&gt;0,LEN(CR40)&lt;&gt;0),((HOUR(CR40)*60)+MINUTE(CR40))-((HOUR(CQ40)*60)+MINUTE(CQ40)),"")</f>
        <v>2</v>
      </c>
      <c r="CZ40" s="20"/>
      <c r="DA40" s="20"/>
      <c r="DB40" s="20"/>
      <c r="DD40" s="18"/>
      <c r="DE40" s="20"/>
      <c r="DF40" s="20"/>
      <c r="DG40" s="20"/>
      <c r="DI40" s="18"/>
    </row>
    <row r="41" customFormat="false" ht="18" hidden="false" customHeight="false" outlineLevel="0" collapsed="false">
      <c r="CK41" s="21" t="s">
        <v>31</v>
      </c>
      <c r="CL41" s="22" t="n">
        <v>0.810416666666667</v>
      </c>
      <c r="CM41" s="22" t="n">
        <v>0.811805555555556</v>
      </c>
      <c r="CN41" s="1" t="str">
        <f aca="false">"[""" &amp; CK41 &amp; """, """ &amp; IF(CL41="","",TEXT(CL41,"h:mm")) &amp; """, """ &amp; IF(CM41="","",TEXT(CM41,"h:mm")) &amp; """],"</f>
        <v>["来居", "19:27", "19:29"],</v>
      </c>
      <c r="CO41" s="18" t="n">
        <f aca="false">IF(AND(LEN(CL41)&lt;&gt;0,LEN(CM41)&lt;&gt;0),((HOUR(CM41)*60)+MINUTE(CM41))-((HOUR(CL41)*60)+MINUTE(CL41)),"")</f>
        <v>2</v>
      </c>
      <c r="CP41" s="21" t="s">
        <v>31</v>
      </c>
      <c r="CQ41" s="22" t="n">
        <v>0.810416666666667</v>
      </c>
      <c r="CR41" s="22" t="n">
        <v>0.811805555555556</v>
      </c>
      <c r="CS41" s="1" t="str">
        <f aca="false">"[""" &amp; CP41 &amp; """, """ &amp; IF(CQ41="","",TEXT(CQ41,"h:mm")) &amp; """, """ &amp; IF(CR41="","",TEXT(CR41,"h:mm")) &amp; """],"</f>
        <v>["来居", "19:27", "19:29"],</v>
      </c>
      <c r="CT41" s="18" t="n">
        <f aca="false">IF(AND(LEN(CQ41)&lt;&gt;0,LEN(CR41)&lt;&gt;0),((HOUR(CR41)*60)+MINUTE(CR41))-((HOUR(CQ41)*60)+MINUTE(CQ41)),"")</f>
        <v>2</v>
      </c>
      <c r="CZ41" s="20"/>
      <c r="DA41" s="20"/>
      <c r="DB41" s="20"/>
      <c r="DD41" s="18"/>
      <c r="DE41" s="20"/>
      <c r="DF41" s="20"/>
      <c r="DG41" s="20"/>
      <c r="DI41" s="18"/>
    </row>
    <row r="42" customFormat="false" ht="18" hidden="false" customHeight="false" outlineLevel="0" collapsed="false">
      <c r="CK42" s="19" t="s">
        <v>30</v>
      </c>
      <c r="CL42" s="19" t="n">
        <v>0.825694444444444</v>
      </c>
      <c r="CM42" s="19" t="n">
        <v>0.827083333333333</v>
      </c>
      <c r="CN42" s="1" t="str">
        <f aca="false">"[""" &amp; CK42 &amp; """, """ &amp; IF(CL42="","",TEXT(CL42,"h:mm")) &amp; """, """ &amp; IF(CM42="","",TEXT(CM42,"h:mm")) &amp; """],"</f>
        <v>["菱浦", "19:49", "19:51"],</v>
      </c>
      <c r="CO42" s="18" t="n">
        <f aca="false">IF(AND(LEN(CL42)&lt;&gt;0,LEN(CM42)&lt;&gt;0),((HOUR(CM42)*60)+MINUTE(CM42))-((HOUR(CL42)*60)+MINUTE(CL42)),"")</f>
        <v>2</v>
      </c>
      <c r="CP42" s="19" t="s">
        <v>30</v>
      </c>
      <c r="CQ42" s="19" t="n">
        <v>0.825694444444444</v>
      </c>
      <c r="CR42" s="19" t="n">
        <v>0.827083333333333</v>
      </c>
      <c r="CS42" s="1" t="str">
        <f aca="false">"[""" &amp; CP42 &amp; """, """ &amp; IF(CQ42="","",TEXT(CQ42,"h:mm")) &amp; """, """ &amp; IF(CR42="","",TEXT(CR42,"h:mm")) &amp; """],"</f>
        <v>["菱浦", "19:49", "19:51"],</v>
      </c>
      <c r="CT42" s="18" t="n">
        <f aca="false">IF(AND(LEN(CQ42)&lt;&gt;0,LEN(CR42)&lt;&gt;0),((HOUR(CR42)*60)+MINUTE(CR42))-((HOUR(CQ42)*60)+MINUTE(CQ42)),"")</f>
        <v>2</v>
      </c>
      <c r="CZ42" s="20"/>
      <c r="DA42" s="20"/>
      <c r="DB42" s="20"/>
      <c r="DD42" s="18"/>
      <c r="DE42" s="20"/>
      <c r="DF42" s="20"/>
      <c r="DG42" s="20"/>
      <c r="DI42" s="18"/>
    </row>
    <row r="43" customFormat="false" ht="18" hidden="false" customHeight="false" outlineLevel="0" collapsed="false">
      <c r="CK43" s="20" t="s">
        <v>29</v>
      </c>
      <c r="CL43" s="20" t="n">
        <v>0.832638888888889</v>
      </c>
      <c r="CM43" s="20" t="n">
        <v>0.834027777777778</v>
      </c>
      <c r="CN43" s="1" t="str">
        <f aca="false">"[""" &amp; CK43 &amp; """, """ &amp; IF(CL43="","",TEXT(CL43,"h:mm")) &amp; """, """ &amp; IF(CM43="","",TEXT(CM43,"h:mm")) &amp; """],"</f>
        <v>["別府", "19:59", "20:01"],</v>
      </c>
      <c r="CO43" s="18" t="n">
        <f aca="false">IF(AND(LEN(CL43)&lt;&gt;0,LEN(CM43)&lt;&gt;0),((HOUR(CM43)*60)+MINUTE(CM43))-((HOUR(CL43)*60)+MINUTE(CL43)),"")</f>
        <v>2</v>
      </c>
      <c r="CP43" s="20" t="s">
        <v>29</v>
      </c>
      <c r="CQ43" s="20" t="n">
        <v>0.832638888888889</v>
      </c>
      <c r="CR43" s="20" t="n">
        <v>0.834027777777778</v>
      </c>
      <c r="CS43" s="1" t="str">
        <f aca="false">"[""" &amp; CP43 &amp; """, """ &amp; IF(CQ43="","",TEXT(CQ43,"h:mm")) &amp; """, """ &amp; IF(CR43="","",TEXT(CR43,"h:mm")) &amp; """],"</f>
        <v>["別府", "19:59", "20:01"],</v>
      </c>
      <c r="CT43" s="18" t="n">
        <f aca="false">IF(AND(LEN(CQ43)&lt;&gt;0,LEN(CR43)&lt;&gt;0),((HOUR(CR43)*60)+MINUTE(CR43))-((HOUR(CQ43)*60)+MINUTE(CQ43)),"")</f>
        <v>2</v>
      </c>
      <c r="CZ43" s="20"/>
      <c r="DA43" s="20"/>
      <c r="DB43" s="20"/>
      <c r="DD43" s="18"/>
      <c r="DE43" s="20"/>
      <c r="DF43" s="20"/>
      <c r="DG43" s="20"/>
      <c r="DI43" s="18"/>
    </row>
    <row r="44" customFormat="false" ht="18" hidden="false" customHeight="false" outlineLevel="0" collapsed="false">
      <c r="CK44" s="19" t="s">
        <v>30</v>
      </c>
      <c r="CL44" s="19" t="n">
        <v>0.839583333333333</v>
      </c>
      <c r="CM44" s="19" t="n">
        <v>0.840972222222222</v>
      </c>
      <c r="CN44" s="1" t="str">
        <f aca="false">"[""" &amp; CK44 &amp; """, """ &amp; IF(CL44="","",TEXT(CL44,"h:mm")) &amp; """, """ &amp; IF(CM44="","",TEXT(CM44,"h:mm")) &amp; """],"</f>
        <v>["菱浦", "20:09", "20:11"],</v>
      </c>
      <c r="CO44" s="18" t="n">
        <f aca="false">IF(AND(LEN(CL44)&lt;&gt;0,LEN(CM44)&lt;&gt;0),((HOUR(CM44)*60)+MINUTE(CM44))-((HOUR(CL44)*60)+MINUTE(CL44)),"")</f>
        <v>2</v>
      </c>
      <c r="CP44" s="19" t="s">
        <v>30</v>
      </c>
      <c r="CQ44" s="19" t="n">
        <v>0.839583333333333</v>
      </c>
      <c r="CR44" s="19" t="n">
        <v>0.840972222222222</v>
      </c>
      <c r="CS44" s="1" t="str">
        <f aca="false">"[""" &amp; CP44 &amp; """, """ &amp; IF(CQ44="","",TEXT(CQ44,"h:mm")) &amp; """, """ &amp; IF(CR44="","",TEXT(CR44,"h:mm")) &amp; """],"</f>
        <v>["菱浦", "20:09", "20:11"],</v>
      </c>
      <c r="CT44" s="18" t="n">
        <f aca="false">IF(AND(LEN(CQ44)&lt;&gt;0,LEN(CR44)&lt;&gt;0),((HOUR(CR44)*60)+MINUTE(CR44))-((HOUR(CQ44)*60)+MINUTE(CQ44)),"")</f>
        <v>2</v>
      </c>
      <c r="CZ44" s="20"/>
      <c r="DA44" s="20"/>
      <c r="DB44" s="20"/>
      <c r="DD44" s="18"/>
      <c r="DE44" s="20"/>
      <c r="DF44" s="20"/>
      <c r="DG44" s="20"/>
      <c r="DI44" s="18"/>
    </row>
    <row r="45" customFormat="false" ht="18" hidden="false" customHeight="false" outlineLevel="0" collapsed="false">
      <c r="CK45" s="21" t="s">
        <v>31</v>
      </c>
      <c r="CL45" s="22" t="n">
        <v>0.854861111111111</v>
      </c>
      <c r="CM45" s="22" t="n">
        <v>0.85625</v>
      </c>
      <c r="CN45" s="1" t="str">
        <f aca="false">"[""" &amp; CK45 &amp; """, """ &amp; IF(CL45="","",TEXT(CL45,"h:mm")) &amp; """, """ &amp; IF(CM45="","",TEXT(CM45,"h:mm")) &amp; """],"</f>
        <v>["来居", "20:31", "20:33"],</v>
      </c>
      <c r="CO45" s="18" t="n">
        <f aca="false">IF(AND(LEN(CL45)&lt;&gt;0,LEN(CM45)&lt;&gt;0),((HOUR(CM45)*60)+MINUTE(CM45))-((HOUR(CL45)*60)+MINUTE(CL45)),"")</f>
        <v>2</v>
      </c>
      <c r="CP45" s="21" t="s">
        <v>31</v>
      </c>
      <c r="CQ45" s="22" t="n">
        <v>0.854861111111111</v>
      </c>
      <c r="CR45" s="22" t="n">
        <v>0.85625</v>
      </c>
      <c r="CS45" s="1" t="str">
        <f aca="false">"[""" &amp; CP45 &amp; """, """ &amp; IF(CQ45="","",TEXT(CQ45,"h:mm")) &amp; """, """ &amp; IF(CR45="","",TEXT(CR45,"h:mm")) &amp; """],"</f>
        <v>["来居", "20:31", "20:33"],</v>
      </c>
      <c r="CT45" s="18" t="n">
        <f aca="false">IF(AND(LEN(CQ45)&lt;&gt;0,LEN(CR45)&lt;&gt;0),((HOUR(CR45)*60)+MINUTE(CR45))-((HOUR(CQ45)*60)+MINUTE(CQ45)),"")</f>
        <v>2</v>
      </c>
      <c r="CZ45" s="21"/>
      <c r="DA45" s="22"/>
      <c r="DB45" s="22"/>
      <c r="DD45" s="18"/>
      <c r="DE45" s="21"/>
      <c r="DF45" s="22"/>
      <c r="DG45" s="22"/>
      <c r="DI45" s="18"/>
    </row>
    <row r="46" customFormat="false" ht="18" hidden="false" customHeight="false" outlineLevel="0" collapsed="false">
      <c r="CK46" s="19" t="s">
        <v>30</v>
      </c>
      <c r="CL46" s="19" t="n">
        <v>0.870138888888889</v>
      </c>
      <c r="CM46" s="19" t="n">
        <v>0.871527777777778</v>
      </c>
      <c r="CN46" s="1" t="str">
        <f aca="false">"[""" &amp; CK46 &amp; """, """ &amp; IF(CL46="","",TEXT(CL46,"h:mm")) &amp; """, """ &amp; IF(CM46="","",TEXT(CM46,"h:mm")) &amp; """],"</f>
        <v>["菱浦", "20:53", "20:55"],</v>
      </c>
      <c r="CO46" s="18" t="n">
        <f aca="false">IF(AND(LEN(CL46)&lt;&gt;0,LEN(CM46)&lt;&gt;0),((HOUR(CM46)*60)+MINUTE(CM46))-((HOUR(CL46)*60)+MINUTE(CL46)),"")</f>
        <v>2</v>
      </c>
      <c r="CP46" s="19" t="s">
        <v>30</v>
      </c>
      <c r="CQ46" s="19" t="n">
        <v>0.870138888888889</v>
      </c>
      <c r="CR46" s="19" t="n">
        <v>0.871527777777778</v>
      </c>
      <c r="CS46" s="1" t="str">
        <f aca="false">"[""" &amp; CP46 &amp; """, """ &amp; IF(CQ46="","",TEXT(CQ46,"h:mm")) &amp; """, """ &amp; IF(CR46="","",TEXT(CR46,"h:mm")) &amp; """],"</f>
        <v>["菱浦", "20:53", "20:55"],</v>
      </c>
      <c r="CT46" s="18" t="n">
        <f aca="false">IF(AND(LEN(CQ46)&lt;&gt;0,LEN(CR46)&lt;&gt;0),((HOUR(CR46)*60)+MINUTE(CR46))-((HOUR(CQ46)*60)+MINUTE(CQ46)),"")</f>
        <v>2</v>
      </c>
      <c r="CZ46" s="19"/>
      <c r="DA46" s="19"/>
      <c r="DB46" s="19"/>
      <c r="DD46" s="18"/>
      <c r="DE46" s="19"/>
      <c r="DF46" s="19"/>
      <c r="DG46" s="19"/>
      <c r="DI46" s="18"/>
    </row>
    <row r="47" customFormat="false" ht="18" hidden="false" customHeight="false" outlineLevel="0" collapsed="false">
      <c r="CK47" s="20" t="s">
        <v>29</v>
      </c>
      <c r="CL47" s="20" t="n">
        <v>0.877083333333333</v>
      </c>
      <c r="CM47" s="20" t="n">
        <v>0.878472222222222</v>
      </c>
      <c r="CN47" s="1" t="str">
        <f aca="false">"[""" &amp; CK47 &amp; """, """ &amp; IF(CL47="","",TEXT(CL47,"h:mm")) &amp; """, """ &amp; IF(CM47="","",TEXT(CM47,"h:mm")) &amp; """],"</f>
        <v>["別府", "21:03", "21:05"],</v>
      </c>
      <c r="CO47" s="18" t="n">
        <f aca="false">IF(AND(LEN(CL47)&lt;&gt;0,LEN(CM47)&lt;&gt;0),((HOUR(CM47)*60)+MINUTE(CM47))-((HOUR(CL47)*60)+MINUTE(CL47)),"")</f>
        <v>2</v>
      </c>
      <c r="CP47" s="20" t="s">
        <v>29</v>
      </c>
      <c r="CQ47" s="20" t="n">
        <v>0.877083333333333</v>
      </c>
      <c r="CR47" s="20" t="n">
        <v>0.878472222222222</v>
      </c>
      <c r="CS47" s="1" t="str">
        <f aca="false">"[""" &amp; CP47 &amp; """, """ &amp; IF(CQ47="","",TEXT(CQ47,"h:mm")) &amp; """, """ &amp; IF(CR47="","",TEXT(CR47,"h:mm")) &amp; """],"</f>
        <v>["別府", "21:03", "21:05"],</v>
      </c>
      <c r="CT47" s="18" t="n">
        <f aca="false">IF(AND(LEN(CQ47)&lt;&gt;0,LEN(CR47)&lt;&gt;0),((HOUR(CR47)*60)+MINUTE(CR47))-((HOUR(CQ47)*60)+MINUTE(CQ47)),"")</f>
        <v>2</v>
      </c>
      <c r="CZ47" s="19"/>
      <c r="DA47" s="19"/>
      <c r="DB47" s="19"/>
      <c r="DD47" s="18"/>
      <c r="DE47" s="19"/>
      <c r="DF47" s="19"/>
      <c r="DG47" s="19"/>
      <c r="DI47" s="18"/>
    </row>
    <row r="48" customFormat="false" ht="18" hidden="false" customHeight="false" outlineLevel="0" collapsed="false">
      <c r="CK48" s="19" t="s">
        <v>30</v>
      </c>
      <c r="CL48" s="19" t="n">
        <v>0.884027777777778</v>
      </c>
      <c r="CM48" s="19" t="n">
        <v>0.885416666666667</v>
      </c>
      <c r="CN48" s="1" t="str">
        <f aca="false">"[""" &amp; CK48 &amp; """, """ &amp; IF(CL48="","",TEXT(CL48,"h:mm")) &amp; """, """ &amp; IF(CM48="","",TEXT(CM48,"h:mm")) &amp; """],"</f>
        <v>["菱浦", "21:13", "21:15"],</v>
      </c>
      <c r="CO48" s="18" t="n">
        <f aca="false">IF(AND(LEN(CL48)&lt;&gt;0,LEN(CM48)&lt;&gt;0),((HOUR(CM48)*60)+MINUTE(CM48))-((HOUR(CL48)*60)+MINUTE(CL48)),"")</f>
        <v>2</v>
      </c>
      <c r="CP48" s="19" t="s">
        <v>30</v>
      </c>
      <c r="CQ48" s="19" t="n">
        <v>0.884027777777778</v>
      </c>
      <c r="CR48" s="19" t="n">
        <v>0.885416666666667</v>
      </c>
      <c r="CS48" s="1" t="str">
        <f aca="false">"[""" &amp; CP48 &amp; """, """ &amp; IF(CQ48="","",TEXT(CQ48,"h:mm")) &amp; """, """ &amp; IF(CR48="","",TEXT(CR48,"h:mm")) &amp; """],"</f>
        <v>["菱浦", "21:13", "21:15"],</v>
      </c>
      <c r="CT48" s="18" t="n">
        <f aca="false">IF(AND(LEN(CQ48)&lt;&gt;0,LEN(CR48)&lt;&gt;0),((HOUR(CR48)*60)+MINUTE(CR48))-((HOUR(CQ48)*60)+MINUTE(CQ48)),"")</f>
        <v>2</v>
      </c>
      <c r="CZ48" s="21"/>
      <c r="DA48" s="22"/>
      <c r="DB48" s="22"/>
      <c r="DD48" s="18"/>
      <c r="DE48" s="21"/>
      <c r="DF48" s="22"/>
      <c r="DG48" s="22"/>
      <c r="DI48" s="18"/>
    </row>
    <row r="49" customFormat="false" ht="18" hidden="false" customHeight="false" outlineLevel="0" collapsed="false">
      <c r="CK49" s="21" t="s">
        <v>31</v>
      </c>
      <c r="CL49" s="22" t="n">
        <v>0.899305555555556</v>
      </c>
      <c r="CM49" s="22" t="n">
        <v>0.900694444444445</v>
      </c>
      <c r="CN49" s="1" t="str">
        <f aca="false">"[""" &amp; CK49 &amp; """, """ &amp; IF(CL49="","",TEXT(CL49,"h:mm")) &amp; """, """ &amp; IF(CM49="","",TEXT(CM49,"h:mm")) &amp; """],"</f>
        <v>["来居", "21:35", "21:37"],</v>
      </c>
      <c r="CO49" s="18" t="n">
        <f aca="false">IF(AND(LEN(CL49)&lt;&gt;0,LEN(CM49)&lt;&gt;0),((HOUR(CM49)*60)+MINUTE(CM49))-((HOUR(CL49)*60)+MINUTE(CL49)),"")</f>
        <v>2</v>
      </c>
      <c r="CP49" s="21" t="s">
        <v>31</v>
      </c>
      <c r="CQ49" s="22" t="n">
        <v>0.899305555555556</v>
      </c>
      <c r="CR49" s="22" t="n">
        <v>0.900694444444445</v>
      </c>
      <c r="CS49" s="1" t="str">
        <f aca="false">"[""" &amp; CP49 &amp; """, """ &amp; IF(CQ49="","",TEXT(CQ49,"h:mm")) &amp; """, """ &amp; IF(CR49="","",TEXT(CR49,"h:mm")) &amp; """],"</f>
        <v>["来居", "21:35", "21:37"],</v>
      </c>
      <c r="CT49" s="18" t="n">
        <f aca="false">IF(AND(LEN(CQ49)&lt;&gt;0,LEN(CR49)&lt;&gt;0),((HOUR(CR49)*60)+MINUTE(CR49))-((HOUR(CQ49)*60)+MINUTE(CQ49)),"")</f>
        <v>2</v>
      </c>
      <c r="CZ49" s="21"/>
      <c r="DA49" s="22"/>
      <c r="DB49" s="22"/>
      <c r="DD49" s="18"/>
      <c r="DE49" s="21"/>
      <c r="DF49" s="22"/>
      <c r="DG49" s="22"/>
      <c r="DI49" s="18"/>
    </row>
    <row r="50" customFormat="false" ht="18" hidden="false" customHeight="false" outlineLevel="0" collapsed="false">
      <c r="CK50" s="19" t="s">
        <v>30</v>
      </c>
      <c r="CL50" s="19" t="n">
        <v>0.914583333333333</v>
      </c>
      <c r="CM50" s="19" t="n">
        <v>0.915972222222222</v>
      </c>
      <c r="CN50" s="1" t="str">
        <f aca="false">"[""" &amp; CK50 &amp; """, """ &amp; IF(CL50="","",TEXT(CL50,"h:mm")) &amp; """, """ &amp; IF(CM50="","",TEXT(CM50,"h:mm")) &amp; """],"</f>
        <v>["菱浦", "21:57", "21:59"],</v>
      </c>
      <c r="CO50" s="18" t="n">
        <f aca="false">IF(AND(LEN(CL50)&lt;&gt;0,LEN(CM50)&lt;&gt;0),((HOUR(CM50)*60)+MINUTE(CM50))-((HOUR(CL50)*60)+MINUTE(CL50)),"")</f>
        <v>2</v>
      </c>
      <c r="CP50" s="19" t="s">
        <v>30</v>
      </c>
      <c r="CQ50" s="19" t="n">
        <v>0.914583333333333</v>
      </c>
      <c r="CR50" s="19" t="n">
        <v>0.915972222222222</v>
      </c>
      <c r="CS50" s="1" t="str">
        <f aca="false">"[""" &amp; CP50 &amp; """, """ &amp; IF(CQ50="","",TEXT(CQ50,"h:mm")) &amp; """, """ &amp; IF(CR50="","",TEXT(CR50,"h:mm")) &amp; """],"</f>
        <v>["菱浦", "21:57", "21:59"],</v>
      </c>
      <c r="CT50" s="18" t="n">
        <f aca="false">IF(AND(LEN(CQ50)&lt;&gt;0,LEN(CR50)&lt;&gt;0),((HOUR(CR50)*60)+MINUTE(CR50))-((HOUR(CQ50)*60)+MINUTE(CQ50)),"")</f>
        <v>2</v>
      </c>
      <c r="CZ50" s="19"/>
      <c r="DA50" s="19"/>
      <c r="DB50" s="19"/>
      <c r="DD50" s="18"/>
      <c r="DE50" s="19"/>
      <c r="DF50" s="19"/>
      <c r="DG50" s="19"/>
      <c r="DI50" s="18"/>
    </row>
    <row r="51" customFormat="false" ht="18" hidden="false" customHeight="false" outlineLevel="0" collapsed="false">
      <c r="CK51" s="20" t="s">
        <v>29</v>
      </c>
      <c r="CL51" s="20" t="n">
        <v>0.921527777777778</v>
      </c>
      <c r="CN51" s="1" t="str">
        <f aca="false">"[""" &amp; CK51 &amp; """, """ &amp; IF(CL51="","",TEXT(CL51,"h:mm")) &amp; """, """ &amp; IF(CM51="","",TEXT(CM51,"h:mm")) &amp; """]"</f>
        <v>["別府", "22:07", ""]</v>
      </c>
      <c r="CO51" s="18" t="str">
        <f aca="false">IF(AND(LEN(CL51)&lt;&gt;0,LEN(CM51)&lt;&gt;0),((HOUR(CM51)*60)+MINUTE(CM51))-((HOUR(CL51)*60)+MINUTE(CL51)),"")</f>
        <v/>
      </c>
      <c r="CP51" s="20" t="s">
        <v>29</v>
      </c>
      <c r="CQ51" s="20" t="n">
        <v>0.921527777777778</v>
      </c>
      <c r="CS51" s="1" t="str">
        <f aca="false">"[""" &amp; CP51 &amp; """, """ &amp; IF(CQ51="","",TEXT(CQ51,"h:mm")) &amp; """, """ &amp; IF(CR51="","",TEXT(CR51,"h:mm")) &amp; """]"</f>
        <v>["別府", "22:07", ""]</v>
      </c>
      <c r="CT51" s="18" t="str">
        <f aca="false">IF(AND(LEN(CQ51)&lt;&gt;0,LEN(CR51)&lt;&gt;0),((HOUR(CR51)*60)+MINUTE(CR51))-((HOUR(CQ51)*60)+MINUTE(CQ51)),"")</f>
        <v/>
      </c>
      <c r="CZ51" s="19"/>
      <c r="DA51" s="19"/>
      <c r="DB51" s="19"/>
      <c r="DD51" s="18"/>
      <c r="DE51" s="19"/>
      <c r="DF51" s="19"/>
      <c r="DG51" s="19"/>
      <c r="DI51" s="18"/>
    </row>
    <row r="52" customFormat="false" ht="18" hidden="false" customHeight="false" outlineLevel="0" collapsed="false">
      <c r="CN52" s="1" t="s">
        <v>33</v>
      </c>
      <c r="CO52" s="18" t="str">
        <f aca="false">IF(AND(LEN(CL52)&lt;&gt;0,LEN(CM52)&lt;&gt;0),((HOUR(CM52)*60)+MINUTE(CM52))-((HOUR(CL52)*60)+MINUTE(CL52)),"")</f>
        <v/>
      </c>
      <c r="CS52" s="1" t="s">
        <v>33</v>
      </c>
      <c r="CT52" s="18" t="str">
        <f aca="false">IF(AND(LEN(CQ52)&lt;&gt;0,LEN(CR52)&lt;&gt;0),((HOUR(CR52)*60)+MINUTE(CR52))-((HOUR(CQ52)*60)+MINUTE(CQ52)),"")</f>
        <v/>
      </c>
      <c r="CZ52" s="21"/>
      <c r="DA52" s="22"/>
      <c r="DB52" s="22"/>
      <c r="DD52" s="18"/>
      <c r="DE52" s="21"/>
      <c r="DF52" s="22"/>
      <c r="DG52" s="22"/>
      <c r="DI52" s="18"/>
    </row>
  </sheetData>
  <mergeCells count="66">
    <mergeCell ref="B2:D2"/>
    <mergeCell ref="G2:I2"/>
    <mergeCell ref="L2:N2"/>
    <mergeCell ref="Q2:S2"/>
    <mergeCell ref="V2:X2"/>
    <mergeCell ref="AA2:AC2"/>
    <mergeCell ref="AF2:AH2"/>
    <mergeCell ref="AK2:AM2"/>
    <mergeCell ref="AQ2:AS2"/>
    <mergeCell ref="AV2:AX2"/>
    <mergeCell ref="BA2:BC2"/>
    <mergeCell ref="BF2:BH2"/>
    <mergeCell ref="BK2:BM2"/>
    <mergeCell ref="BQ2:BS2"/>
    <mergeCell ref="BV2:BX2"/>
    <mergeCell ref="CA2:CC2"/>
    <mergeCell ref="CG2:CI2"/>
    <mergeCell ref="CL2:CN2"/>
    <mergeCell ref="CQ2:CS2"/>
    <mergeCell ref="CV2:CX2"/>
    <mergeCell ref="DA2:DC2"/>
    <mergeCell ref="DF2:DH2"/>
    <mergeCell ref="A3:B3"/>
    <mergeCell ref="C3:D3"/>
    <mergeCell ref="F3:G3"/>
    <mergeCell ref="H3:I3"/>
    <mergeCell ref="K3:L3"/>
    <mergeCell ref="M3:N3"/>
    <mergeCell ref="P3:Q3"/>
    <mergeCell ref="R3:S3"/>
    <mergeCell ref="U3:V3"/>
    <mergeCell ref="W3:X3"/>
    <mergeCell ref="Z3:AA3"/>
    <mergeCell ref="AB3:AC3"/>
    <mergeCell ref="AE3:AF3"/>
    <mergeCell ref="AG3:AH3"/>
    <mergeCell ref="AJ3:AK3"/>
    <mergeCell ref="AL3:AM3"/>
    <mergeCell ref="AP3:AQ3"/>
    <mergeCell ref="AR3:AS3"/>
    <mergeCell ref="AU3:AV3"/>
    <mergeCell ref="AW3:AX3"/>
    <mergeCell ref="AZ3:BA3"/>
    <mergeCell ref="BB3:BC3"/>
    <mergeCell ref="BE3:BF3"/>
    <mergeCell ref="BG3:BH3"/>
    <mergeCell ref="BJ3:BK3"/>
    <mergeCell ref="BL3:BM3"/>
    <mergeCell ref="BP3:BQ3"/>
    <mergeCell ref="BR3:BS3"/>
    <mergeCell ref="BU3:BV3"/>
    <mergeCell ref="BW3:BX3"/>
    <mergeCell ref="BZ3:CA3"/>
    <mergeCell ref="CB3:CC3"/>
    <mergeCell ref="CF3:CG3"/>
    <mergeCell ref="CH3:CI3"/>
    <mergeCell ref="CK3:CL3"/>
    <mergeCell ref="CM3:CN3"/>
    <mergeCell ref="CP3:CQ3"/>
    <mergeCell ref="CR3:CS3"/>
    <mergeCell ref="CU3:CV3"/>
    <mergeCell ref="CW3:CX3"/>
    <mergeCell ref="CZ3:DA3"/>
    <mergeCell ref="DB3:DC3"/>
    <mergeCell ref="DE3:DF3"/>
    <mergeCell ref="DG3:D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D711BA68-85C4-49DD-AFD9-1BA0F691FD7C}">
            <xm:f>NOT(ISERROR(SEARCH($A$1-2,A1)))</xm:f>
            <xm:f>$A$1-2</xm:f>
            <x14:dxf>
              <font>
                <color rgb="00FFFFFF"/>
              </font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422C7EA2-99ED-4BDA-BF38-561420AA3B15}">
            <xm:f>NOT(ISERROR(SEARCH($A$1-1,A1)))</xm:f>
            <xm:f>$A$1-1</xm:f>
            <x14:dxf>
              <font>
                <color rgb="FFC00000"/>
              </font>
            </x14:dxf>
          </x14:cfRule>
          <xm:sqref>1:1048576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DI52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1" activeCellId="0" sqref="A1"/>
    </sheetView>
  </sheetViews>
  <sheetFormatPr defaultColWidth="5.6015625" defaultRowHeight="18" customHeight="false" zeroHeight="false" outlineLevelRow="0" outlineLevelCol="0"/>
  <cols>
    <col collapsed="false" customWidth="true" hidden="false" outlineLevel="0" max="1" min="1" style="1" width="8.9"/>
    <col collapsed="false" customWidth="true" hidden="false" outlineLevel="0" max="3" min="2" style="1" width="9"/>
    <col collapsed="false" customWidth="true" hidden="false" outlineLevel="0" max="4" min="4" style="1" width="24.1"/>
    <col collapsed="false" customWidth="true" hidden="false" outlineLevel="0" max="5" min="5" style="2" width="4.5"/>
    <col collapsed="false" customWidth="true" hidden="false" outlineLevel="0" max="6" min="6" style="1" width="5.5"/>
    <col collapsed="false" customWidth="true" hidden="false" outlineLevel="0" max="8" min="7" style="1" width="9"/>
    <col collapsed="false" customWidth="true" hidden="false" outlineLevel="0" max="9" min="9" style="1" width="24.1"/>
    <col collapsed="false" customWidth="true" hidden="false" outlineLevel="0" max="10" min="10" style="2" width="4.5"/>
    <col collapsed="false" customWidth="true" hidden="false" outlineLevel="0" max="11" min="11" style="1" width="5.5"/>
    <col collapsed="false" customWidth="true" hidden="false" outlineLevel="0" max="13" min="12" style="1" width="9"/>
    <col collapsed="false" customWidth="true" hidden="false" outlineLevel="0" max="14" min="14" style="1" width="24.1"/>
    <col collapsed="false" customWidth="true" hidden="false" outlineLevel="0" max="15" min="15" style="2" width="4.5"/>
    <col collapsed="false" customWidth="true" hidden="false" outlineLevel="0" max="16" min="16" style="1" width="5.5"/>
    <col collapsed="false" customWidth="true" hidden="false" outlineLevel="0" max="18" min="17" style="1" width="9"/>
    <col collapsed="false" customWidth="true" hidden="false" outlineLevel="0" max="19" min="19" style="1" width="24.1"/>
    <col collapsed="false" customWidth="true" hidden="false" outlineLevel="0" max="20" min="20" style="2" width="4.5"/>
    <col collapsed="false" customWidth="true" hidden="false" outlineLevel="0" max="21" min="21" style="1" width="5.5"/>
    <col collapsed="false" customWidth="true" hidden="false" outlineLevel="0" max="23" min="22" style="1" width="9"/>
    <col collapsed="false" customWidth="true" hidden="false" outlineLevel="0" max="24" min="24" style="1" width="24.1"/>
    <col collapsed="false" customWidth="true" hidden="false" outlineLevel="0" max="25" min="25" style="2" width="4.5"/>
    <col collapsed="false" customWidth="true" hidden="false" outlineLevel="0" max="26" min="26" style="1" width="5.5"/>
    <col collapsed="false" customWidth="true" hidden="false" outlineLevel="0" max="28" min="27" style="1" width="9"/>
    <col collapsed="false" customWidth="true" hidden="false" outlineLevel="0" max="29" min="29" style="1" width="24.1"/>
    <col collapsed="false" customWidth="true" hidden="false" outlineLevel="0" max="30" min="30" style="2" width="4.5"/>
    <col collapsed="false" customWidth="true" hidden="false" outlineLevel="0" max="31" min="31" style="1" width="5.5"/>
    <col collapsed="false" customWidth="true" hidden="false" outlineLevel="0" max="33" min="32" style="1" width="9"/>
    <col collapsed="false" customWidth="true" hidden="false" outlineLevel="0" max="34" min="34" style="1" width="24.1"/>
    <col collapsed="false" customWidth="true" hidden="false" outlineLevel="0" max="35" min="35" style="2" width="4.5"/>
    <col collapsed="false" customWidth="true" hidden="false" outlineLevel="0" max="36" min="36" style="1" width="5.5"/>
    <col collapsed="false" customWidth="true" hidden="false" outlineLevel="0" max="38" min="37" style="1" width="9"/>
    <col collapsed="false" customWidth="true" hidden="false" outlineLevel="0" max="39" min="39" style="1" width="24.1"/>
    <col collapsed="false" customWidth="true" hidden="false" outlineLevel="0" max="40" min="40" style="2" width="4.5"/>
    <col collapsed="false" customWidth="true" hidden="false" outlineLevel="0" max="41" min="41" style="3" width="3.6"/>
    <col collapsed="false" customWidth="true" hidden="false" outlineLevel="0" max="42" min="42" style="1" width="5.5"/>
    <col collapsed="false" customWidth="true" hidden="false" outlineLevel="0" max="44" min="43" style="1" width="9"/>
    <col collapsed="false" customWidth="true" hidden="false" outlineLevel="0" max="45" min="45" style="1" width="24.2"/>
    <col collapsed="false" customWidth="true" hidden="false" outlineLevel="0" max="46" min="46" style="2" width="4.5"/>
    <col collapsed="false" customWidth="true" hidden="false" outlineLevel="0" max="47" min="47" style="1" width="5.5"/>
    <col collapsed="false" customWidth="true" hidden="false" outlineLevel="0" max="49" min="48" style="1" width="9"/>
    <col collapsed="false" customWidth="true" hidden="false" outlineLevel="0" max="50" min="50" style="1" width="24.1"/>
    <col collapsed="false" customWidth="true" hidden="false" outlineLevel="0" max="51" min="51" style="2" width="4.5"/>
    <col collapsed="false" customWidth="true" hidden="false" outlineLevel="0" max="52" min="52" style="1" width="5.5"/>
    <col collapsed="false" customWidth="true" hidden="false" outlineLevel="0" max="54" min="53" style="1" width="9"/>
    <col collapsed="false" customWidth="true" hidden="false" outlineLevel="0" max="55" min="55" style="1" width="24.1"/>
    <col collapsed="false" customWidth="true" hidden="false" outlineLevel="0" max="56" min="56" style="2" width="4.5"/>
    <col collapsed="false" customWidth="true" hidden="false" outlineLevel="0" max="57" min="57" style="1" width="5.5"/>
    <col collapsed="false" customWidth="true" hidden="false" outlineLevel="0" max="59" min="58" style="1" width="9"/>
    <col collapsed="false" customWidth="true" hidden="false" outlineLevel="0" max="60" min="60" style="1" width="24.1"/>
    <col collapsed="false" customWidth="true" hidden="false" outlineLevel="0" max="61" min="61" style="2" width="4.5"/>
    <col collapsed="false" customWidth="true" hidden="false" outlineLevel="0" max="62" min="62" style="1" width="5.5"/>
    <col collapsed="false" customWidth="true" hidden="false" outlineLevel="0" max="64" min="63" style="1" width="9"/>
    <col collapsed="false" customWidth="true" hidden="false" outlineLevel="0" max="65" min="65" style="1" width="24.1"/>
    <col collapsed="false" customWidth="true" hidden="false" outlineLevel="0" max="66" min="66" style="2" width="4.5"/>
    <col collapsed="false" customWidth="true" hidden="false" outlineLevel="0" max="67" min="67" style="4" width="3.6"/>
    <col collapsed="false" customWidth="true" hidden="false" outlineLevel="0" max="68" min="68" style="1" width="5.5"/>
    <col collapsed="false" customWidth="true" hidden="false" outlineLevel="0" max="70" min="69" style="1" width="9"/>
    <col collapsed="false" customWidth="true" hidden="false" outlineLevel="0" max="71" min="71" style="1" width="24.1"/>
    <col collapsed="false" customWidth="true" hidden="false" outlineLevel="0" max="72" min="72" style="2" width="4.5"/>
    <col collapsed="false" customWidth="true" hidden="false" outlineLevel="0" max="73" min="73" style="1" width="5.5"/>
    <col collapsed="false" customWidth="true" hidden="false" outlineLevel="0" max="75" min="74" style="1" width="9"/>
    <col collapsed="false" customWidth="true" hidden="false" outlineLevel="0" max="76" min="76" style="1" width="24.1"/>
    <col collapsed="false" customWidth="true" hidden="false" outlineLevel="0" max="77" min="77" style="2" width="4.5"/>
    <col collapsed="false" customWidth="true" hidden="false" outlineLevel="0" max="78" min="78" style="1" width="5.5"/>
    <col collapsed="false" customWidth="true" hidden="false" outlineLevel="0" max="80" min="79" style="1" width="9"/>
    <col collapsed="false" customWidth="true" hidden="false" outlineLevel="0" max="81" min="81" style="1" width="24.1"/>
    <col collapsed="false" customWidth="true" hidden="false" outlineLevel="0" max="82" min="82" style="2" width="4.5"/>
    <col collapsed="false" customWidth="true" hidden="false" outlineLevel="0" max="83" min="83" style="5" width="3.6"/>
    <col collapsed="false" customWidth="true" hidden="false" outlineLevel="0" max="84" min="84" style="1" width="5.5"/>
    <col collapsed="false" customWidth="true" hidden="false" outlineLevel="0" max="86" min="85" style="1" width="9"/>
    <col collapsed="false" customWidth="true" hidden="false" outlineLevel="0" max="87" min="87" style="1" width="24.1"/>
    <col collapsed="false" customWidth="true" hidden="false" outlineLevel="0" max="88" min="88" style="2" width="4.5"/>
    <col collapsed="false" customWidth="true" hidden="false" outlineLevel="0" max="89" min="89" style="1" width="5.5"/>
    <col collapsed="false" customWidth="true" hidden="false" outlineLevel="0" max="91" min="90" style="1" width="9"/>
    <col collapsed="false" customWidth="true" hidden="false" outlineLevel="0" max="92" min="92" style="1" width="24.2"/>
    <col collapsed="false" customWidth="true" hidden="false" outlineLevel="0" max="93" min="93" style="2" width="3.6"/>
    <col collapsed="false" customWidth="true" hidden="false" outlineLevel="0" max="94" min="94" style="1" width="5.5"/>
    <col collapsed="false" customWidth="true" hidden="false" outlineLevel="0" max="96" min="95" style="1" width="9"/>
    <col collapsed="false" customWidth="true" hidden="false" outlineLevel="0" max="97" min="97" style="1" width="24.1"/>
    <col collapsed="false" customWidth="true" hidden="false" outlineLevel="0" max="98" min="98" style="6" width="3.6"/>
    <col collapsed="false" customWidth="true" hidden="false" outlineLevel="0" max="99" min="99" style="1" width="5.5"/>
    <col collapsed="false" customWidth="true" hidden="false" outlineLevel="0" max="101" min="100" style="1" width="9"/>
    <col collapsed="false" customWidth="true" hidden="false" outlineLevel="0" max="102" min="102" style="1" width="24.1"/>
    <col collapsed="false" customWidth="true" hidden="false" outlineLevel="0" max="103" min="103" style="2" width="4.5"/>
    <col collapsed="false" customWidth="true" hidden="false" outlineLevel="0" max="104" min="104" style="1" width="5.5"/>
    <col collapsed="false" customWidth="true" hidden="false" outlineLevel="0" max="106" min="105" style="1" width="9"/>
    <col collapsed="false" customWidth="true" hidden="false" outlineLevel="0" max="107" min="107" style="1" width="24.2"/>
    <col collapsed="false" customWidth="true" hidden="false" outlineLevel="0" max="108" min="108" style="2" width="3.6"/>
    <col collapsed="false" customWidth="true" hidden="false" outlineLevel="0" max="109" min="109" style="1" width="5.5"/>
    <col collapsed="false" customWidth="true" hidden="false" outlineLevel="0" max="111" min="110" style="1" width="9"/>
    <col collapsed="false" customWidth="true" hidden="false" outlineLevel="0" max="112" min="112" style="1" width="24.2"/>
    <col collapsed="false" customWidth="true" hidden="false" outlineLevel="0" max="113" min="113" style="2" width="3.6"/>
    <col collapsed="false" customWidth="false" hidden="false" outlineLevel="0" max="16384" min="114" style="1" width="5.6"/>
  </cols>
  <sheetData>
    <row r="1" customFormat="false" ht="22.05" hidden="false" customHeight="false" outlineLevel="0" collapsed="false">
      <c r="A1" s="7" t="n">
        <v>2024</v>
      </c>
    </row>
    <row r="2" s="8" customFormat="true" ht="45.75" hidden="false" customHeight="true" outlineLevel="0" collapsed="false">
      <c r="A2" s="32" t="str">
        <f aca="false">$A$1&amp;"厳冬、初冬入渠"</f>
        <v>2024厳冬、初冬入渠</v>
      </c>
      <c r="B2" s="33" t="s">
        <v>67</v>
      </c>
      <c r="C2" s="33"/>
      <c r="D2" s="33"/>
      <c r="E2" s="10" t="str">
        <f aca="false">IF(B2=G2, "=", "")</f>
        <v>=</v>
      </c>
      <c r="F2" s="34" t="str">
        <f aca="false">$A$1&amp;"厳冬、初冬入渠"</f>
        <v>2024厳冬、初冬入渠</v>
      </c>
      <c r="G2" s="33" t="s">
        <v>67</v>
      </c>
      <c r="H2" s="33"/>
      <c r="I2" s="33"/>
      <c r="J2" s="10" t="str">
        <f aca="false">IF(G2=L2, "=", "")</f>
        <v/>
      </c>
      <c r="K2" s="32" t="str">
        <f aca="false">$A$1&amp;"通常"</f>
        <v>2024通常</v>
      </c>
      <c r="L2" s="33" t="s">
        <v>68</v>
      </c>
      <c r="M2" s="33"/>
      <c r="N2" s="33"/>
      <c r="O2" s="10" t="str">
        <f aca="false">IF(L2=Q2, "=", "")</f>
        <v>=</v>
      </c>
      <c r="P2" s="34" t="str">
        <f aca="false">$A$1&amp;"通常"</f>
        <v>2024通常</v>
      </c>
      <c r="Q2" s="35" t="s">
        <v>68</v>
      </c>
      <c r="R2" s="35"/>
      <c r="S2" s="35"/>
      <c r="T2" s="10" t="str">
        <f aca="false">IF(Q2=V2, "=", "")</f>
        <v>=</v>
      </c>
      <c r="U2" s="34" t="str">
        <f aca="false">$A$1&amp;"通常"</f>
        <v>2024通常</v>
      </c>
      <c r="V2" s="35" t="s">
        <v>68</v>
      </c>
      <c r="W2" s="35"/>
      <c r="X2" s="35"/>
      <c r="Y2" s="10" t="str">
        <f aca="false">IF(V2=AA2, "=", "")</f>
        <v/>
      </c>
      <c r="Z2" s="8" t="str">
        <f aca="false">$A$1&amp;"盆"</f>
        <v>2024盆</v>
      </c>
      <c r="AA2" s="9" t="s">
        <v>69</v>
      </c>
      <c r="AB2" s="9"/>
      <c r="AC2" s="9"/>
      <c r="AD2" s="10" t="str">
        <f aca="false">IF(AA2=AF2, "=", "")</f>
        <v>=</v>
      </c>
      <c r="AE2" s="8" t="str">
        <f aca="false">$A$1&amp;"盆"</f>
        <v>2024盆</v>
      </c>
      <c r="AF2" s="9" t="s">
        <v>69</v>
      </c>
      <c r="AG2" s="9"/>
      <c r="AH2" s="9"/>
      <c r="AI2" s="10" t="str">
        <f aca="false">IF(AF2=AK2, "=", "")</f>
        <v>=</v>
      </c>
      <c r="AJ2" s="8" t="str">
        <f aca="false">$A$1&amp;"盆"</f>
        <v>2024盆</v>
      </c>
      <c r="AK2" s="9" t="s">
        <v>69</v>
      </c>
      <c r="AL2" s="9"/>
      <c r="AM2" s="9"/>
      <c r="AN2" s="10"/>
      <c r="AO2" s="11"/>
      <c r="AP2" s="8" t="str">
        <f aca="false">$A$1&amp;"年度末"</f>
        <v>2024年度末</v>
      </c>
      <c r="AQ2" s="9" t="s">
        <v>70</v>
      </c>
      <c r="AR2" s="9"/>
      <c r="AS2" s="9"/>
      <c r="AT2" s="10" t="str">
        <f aca="false">IF(AQ2=AV2, "=", "")</f>
        <v/>
      </c>
      <c r="AU2" s="8" t="str">
        <f aca="false">$A$1&amp;"年度初め"</f>
        <v>2024年度初め</v>
      </c>
      <c r="AV2" s="9" t="s">
        <v>71</v>
      </c>
      <c r="AW2" s="9"/>
      <c r="AX2" s="9"/>
      <c r="AY2" s="10" t="str">
        <f aca="false">IF(AV2=BA2, "=", "")</f>
        <v/>
      </c>
      <c r="AZ2" s="8" t="str">
        <f aca="false">$A$1&amp;"春夏"</f>
        <v>2024春夏</v>
      </c>
      <c r="BA2" s="9" t="s">
        <v>72</v>
      </c>
      <c r="BB2" s="9"/>
      <c r="BC2" s="9"/>
      <c r="BD2" s="10" t="str">
        <f aca="false">IF(BA2=BF2, "=", "")</f>
        <v/>
      </c>
      <c r="BE2" s="8" t="str">
        <f aca="false">$A$1&amp;"秋"</f>
        <v>2024秋</v>
      </c>
      <c r="BF2" s="9" t="s">
        <v>73</v>
      </c>
      <c r="BG2" s="9"/>
      <c r="BH2" s="9"/>
      <c r="BI2" s="10" t="str">
        <f aca="false">IF(BF2=BK2, "=", "")</f>
        <v/>
      </c>
      <c r="BJ2" s="8" t="str">
        <f aca="false">$A$1&amp;"初冬"</f>
        <v>2024初冬</v>
      </c>
      <c r="BK2" s="9" t="s">
        <v>74</v>
      </c>
      <c r="BL2" s="9"/>
      <c r="BM2" s="9"/>
      <c r="BN2" s="10"/>
      <c r="BO2" s="12"/>
      <c r="BP2" s="8" t="str">
        <f aca="false">$A$1&amp;"年末年始"</f>
        <v>2024年末年始</v>
      </c>
      <c r="BQ2" s="9" t="s">
        <v>75</v>
      </c>
      <c r="BR2" s="9"/>
      <c r="BS2" s="9"/>
      <c r="BT2" s="10" t="str">
        <f aca="false">IF(BQ2=BV2, "=", "")</f>
        <v/>
      </c>
      <c r="BU2" s="8" t="str">
        <f aca="false">$A$1&amp;"元日"</f>
        <v>2024元日</v>
      </c>
      <c r="BV2" s="9" t="s">
        <v>76</v>
      </c>
      <c r="BW2" s="9"/>
      <c r="BX2" s="9"/>
      <c r="BY2" s="10" t="str">
        <f aca="false">IF(BV2=CA2, "=", "")</f>
        <v/>
      </c>
      <c r="BZ2" s="8" t="str">
        <f aca="false">$A$1&amp;"通常"</f>
        <v>2024通常</v>
      </c>
      <c r="CA2" s="9" t="s">
        <v>77</v>
      </c>
      <c r="CB2" s="9"/>
      <c r="CC2" s="9"/>
      <c r="CD2" s="10"/>
      <c r="CE2" s="13"/>
      <c r="CF2" s="8" t="str">
        <f aca="false">$A$1&amp;"年末年始"</f>
        <v>2024年末年始</v>
      </c>
      <c r="CG2" s="9" t="s">
        <v>78</v>
      </c>
      <c r="CH2" s="9"/>
      <c r="CI2" s="9"/>
      <c r="CJ2" s="10" t="str">
        <f aca="false">IF(CG2=CL2, "=", "")</f>
        <v/>
      </c>
      <c r="CK2" s="8" t="str">
        <f aca="false">$A$1&amp;"通常"</f>
        <v>2024通常</v>
      </c>
      <c r="CL2" s="9" t="s">
        <v>79</v>
      </c>
      <c r="CM2" s="9"/>
      <c r="CN2" s="9"/>
      <c r="CO2" s="10" t="str">
        <f aca="false">IF(CL2=CQ2, "=", "")</f>
        <v/>
      </c>
      <c r="CP2" s="8" t="str">
        <f aca="false">$A$1&amp;"一部変更"</f>
        <v>2024一部変更</v>
      </c>
      <c r="CQ2" s="9" t="s">
        <v>80</v>
      </c>
      <c r="CR2" s="9"/>
      <c r="CS2" s="9"/>
      <c r="CT2" s="10" t="str">
        <f aca="false">IF(CQ2=CV2, "=", "")</f>
        <v/>
      </c>
      <c r="CU2" s="8" t="str">
        <f aca="false">$A$1&amp;"年末年始"</f>
        <v>2024年末年始</v>
      </c>
      <c r="CV2" s="9" t="s">
        <v>78</v>
      </c>
      <c r="CW2" s="9"/>
      <c r="CX2" s="9"/>
      <c r="CY2" s="10" t="str">
        <f aca="false">IF(CV2=DA2, "=", "")</f>
        <v/>
      </c>
      <c r="CZ2" s="8" t="str">
        <f aca="false">$A$1&amp;"通常"</f>
        <v>2024通常</v>
      </c>
      <c r="DA2" s="9" t="s">
        <v>81</v>
      </c>
      <c r="DB2" s="9"/>
      <c r="DC2" s="9"/>
      <c r="DD2" s="10" t="str">
        <f aca="false">IF(DA2=DF2, "=", "")</f>
        <v/>
      </c>
      <c r="DE2" s="8" t="str">
        <f aca="false">$A$1&amp;"一部変更"</f>
        <v>2024一部変更</v>
      </c>
      <c r="DF2" s="9" t="s">
        <v>70</v>
      </c>
      <c r="DG2" s="9"/>
      <c r="DH2" s="9"/>
      <c r="DI2" s="10" t="str">
        <f aca="false">IF(DF2=DK2, "=", "")</f>
        <v/>
      </c>
    </row>
    <row r="3" s="8" customFormat="true" ht="18.75" hidden="false" customHeight="true" outlineLevel="0" collapsed="false">
      <c r="A3" s="14"/>
      <c r="B3" s="14"/>
      <c r="C3" s="14" t="str">
        <f aca="false">IF(A3="", "", ", ""rinji"":"""&amp;A3&amp;"""")</f>
        <v/>
      </c>
      <c r="D3" s="14"/>
      <c r="E3" s="10"/>
      <c r="F3" s="14"/>
      <c r="G3" s="14"/>
      <c r="H3" s="14" t="str">
        <f aca="false">IF(F3="", "", ", ""rinji"":"""&amp;F3&amp;"""")</f>
        <v/>
      </c>
      <c r="I3" s="14"/>
      <c r="J3" s="10"/>
      <c r="K3" s="14"/>
      <c r="L3" s="14"/>
      <c r="M3" s="14" t="str">
        <f aca="false">IF(K3="", "", ", ""rinji"":"""&amp;K3&amp;"""")</f>
        <v/>
      </c>
      <c r="N3" s="14"/>
      <c r="O3" s="10"/>
      <c r="P3" s="14"/>
      <c r="Q3" s="14"/>
      <c r="R3" s="14" t="str">
        <f aca="false">IF(P3="", "", ", ""rinji"":"""&amp;P3&amp;"""")</f>
        <v/>
      </c>
      <c r="S3" s="14"/>
      <c r="T3" s="10"/>
      <c r="U3" s="14"/>
      <c r="V3" s="14"/>
      <c r="W3" s="14" t="str">
        <f aca="false">IF(U3="", "", ", ""rinji"":"""&amp;U3&amp;"""")</f>
        <v/>
      </c>
      <c r="X3" s="14"/>
      <c r="Y3" s="10"/>
      <c r="Z3" s="14"/>
      <c r="AA3" s="14"/>
      <c r="AB3" s="14" t="str">
        <f aca="false">IF(Z3="", "", ", ""rinji"":"""&amp;Z3&amp;"""")</f>
        <v/>
      </c>
      <c r="AC3" s="14"/>
      <c r="AD3" s="10"/>
      <c r="AE3" s="14"/>
      <c r="AF3" s="14"/>
      <c r="AG3" s="14" t="str">
        <f aca="false">IF(AE3="", "", ", ""rinji"":"""&amp;AE3&amp;"""")</f>
        <v/>
      </c>
      <c r="AH3" s="14"/>
      <c r="AI3" s="10"/>
      <c r="AJ3" s="14"/>
      <c r="AK3" s="14"/>
      <c r="AL3" s="14" t="str">
        <f aca="false">IF(AJ3="", "", ", ""rinji"":"""&amp;AJ3&amp;"""")</f>
        <v/>
      </c>
      <c r="AM3" s="14"/>
      <c r="AN3" s="10"/>
      <c r="AO3" s="11"/>
      <c r="AP3" s="14"/>
      <c r="AQ3" s="14"/>
      <c r="AR3" s="14" t="str">
        <f aca="false">IF(AP3="", "", ", ""rinji"":"""&amp;AP3&amp;"""")</f>
        <v/>
      </c>
      <c r="AS3" s="14"/>
      <c r="AT3" s="10"/>
      <c r="AU3" s="14"/>
      <c r="AV3" s="14"/>
      <c r="AW3" s="14" t="str">
        <f aca="false">IF(AU3="", "", ", ""rinji"":"""&amp;AU3&amp;"""")</f>
        <v/>
      </c>
      <c r="AX3" s="14"/>
      <c r="AY3" s="10"/>
      <c r="AZ3" s="14"/>
      <c r="BA3" s="14"/>
      <c r="BB3" s="14" t="str">
        <f aca="false">IF(AZ3="", "", ", ""rinji"":"""&amp;AZ3&amp;"""")</f>
        <v/>
      </c>
      <c r="BC3" s="14"/>
      <c r="BD3" s="10"/>
      <c r="BE3" s="14"/>
      <c r="BF3" s="14"/>
      <c r="BG3" s="14" t="str">
        <f aca="false">IF(BE3="", "", ", ""rinji"":"""&amp;BE3&amp;"""")</f>
        <v/>
      </c>
      <c r="BH3" s="14"/>
      <c r="BI3" s="10"/>
      <c r="BJ3" s="14"/>
      <c r="BK3" s="14"/>
      <c r="BL3" s="14" t="str">
        <f aca="false">IF(BJ3="", "", ", ""rinji"":"""&amp;BJ3&amp;"""")</f>
        <v/>
      </c>
      <c r="BM3" s="14"/>
      <c r="BN3" s="10"/>
      <c r="BO3" s="12"/>
      <c r="BP3" s="14"/>
      <c r="BQ3" s="14"/>
      <c r="BR3" s="14" t="str">
        <f aca="false">IF(BP3="", "", ", ""rinji"":"""&amp;BP3&amp;"""")</f>
        <v/>
      </c>
      <c r="BS3" s="14"/>
      <c r="BT3" s="10"/>
      <c r="BU3" s="14"/>
      <c r="BV3" s="14"/>
      <c r="BW3" s="14" t="str">
        <f aca="false">IF(BU3="", "", ", ""rinji"":"""&amp;BU3&amp;"""")</f>
        <v/>
      </c>
      <c r="BX3" s="14"/>
      <c r="BY3" s="10"/>
      <c r="BZ3" s="14"/>
      <c r="CA3" s="14"/>
      <c r="CB3" s="14" t="str">
        <f aca="false">IF(BZ3="", "", ", ""rinji"":"""&amp;BZ3&amp;"""")</f>
        <v/>
      </c>
      <c r="CC3" s="14"/>
      <c r="CD3" s="10"/>
      <c r="CE3" s="13"/>
      <c r="CF3" s="14"/>
      <c r="CG3" s="14"/>
      <c r="CH3" s="14" t="str">
        <f aca="false">IF(CF3="", "", ", ""rinji"":"""&amp;CF3&amp;"""")</f>
        <v/>
      </c>
      <c r="CI3" s="14"/>
      <c r="CJ3" s="10"/>
      <c r="CK3" s="14"/>
      <c r="CL3" s="14"/>
      <c r="CM3" s="14" t="str">
        <f aca="false">IF(CK3="", "", ", ""rinji"":"""&amp;CK3&amp;"""")</f>
        <v/>
      </c>
      <c r="CN3" s="14"/>
      <c r="CO3" s="10"/>
      <c r="CP3" s="14"/>
      <c r="CQ3" s="14"/>
      <c r="CR3" s="14" t="str">
        <f aca="false">IF(CP3="", "", ", ""rinji"":"""&amp;CP3&amp;"""")</f>
        <v/>
      </c>
      <c r="CS3" s="14"/>
      <c r="CT3" s="10"/>
      <c r="CU3" s="14" t="s">
        <v>18</v>
      </c>
      <c r="CV3" s="14"/>
      <c r="CW3" s="14" t="str">
        <f aca="false">IF(CU3="", "", ", ""rinji"":"""&amp;CU3&amp;"""")</f>
        <v>, "rinji":"来居欠航時"</v>
      </c>
      <c r="CX3" s="14"/>
      <c r="CY3" s="10"/>
      <c r="CZ3" s="14" t="s">
        <v>18</v>
      </c>
      <c r="DA3" s="14"/>
      <c r="DB3" s="14" t="str">
        <f aca="false">IF(CZ3="", "", ", ""rinji"":"""&amp;CZ3&amp;"""")</f>
        <v>, "rinji":"来居欠航時"</v>
      </c>
      <c r="DC3" s="14"/>
      <c r="DD3" s="10"/>
      <c r="DE3" s="14" t="s">
        <v>18</v>
      </c>
      <c r="DF3" s="14"/>
      <c r="DG3" s="14" t="str">
        <f aca="false">IF(DE3="", "", ", ""rinji"":"""&amp;DE3&amp;"""")</f>
        <v>, "rinji":"来居欠航時"</v>
      </c>
      <c r="DH3" s="14"/>
      <c r="DI3" s="10"/>
    </row>
    <row r="4" customFormat="false" ht="96.75" hidden="false" customHeight="true" outlineLevel="0" collapsed="false">
      <c r="A4" s="8" t="s">
        <v>19</v>
      </c>
      <c r="B4" s="1" t="s">
        <v>20</v>
      </c>
      <c r="C4" s="1" t="s">
        <v>21</v>
      </c>
      <c r="D4" s="15" t="str">
        <f aca="false">"{""ship"":""" &amp; A4 &amp; """, " &amp; B2 &amp; C3 &amp; ", ""info"":""" &amp; A2 &amp; """, ""data"":["</f>
        <v>{"ship":"フェリーおき", "spans":["2024/1/1-2024/3/10", "2024/11/30-2024/12/20"], "days":[], "info":"2024厳冬、初冬入渠", "data":[</v>
      </c>
      <c r="F4" s="8" t="s">
        <v>22</v>
      </c>
      <c r="G4" s="1" t="s">
        <v>20</v>
      </c>
      <c r="H4" s="1" t="s">
        <v>21</v>
      </c>
      <c r="I4" s="15" t="str">
        <f aca="false">"{""ship"":""" &amp; F4 &amp; """, " &amp; G2 &amp; H3 &amp; ", ""info"":""" &amp; F2 &amp; """, ""data"":["</f>
        <v>{"ship":"フェリーしらしま", "spans":["2024/1/1-2024/3/10", "2024/11/30-2024/12/20"], "days":[], "info":"2024厳冬、初冬入渠", "data":[</v>
      </c>
      <c r="K4" s="8" t="s">
        <v>19</v>
      </c>
      <c r="L4" s="1" t="s">
        <v>20</v>
      </c>
      <c r="M4" s="1" t="s">
        <v>21</v>
      </c>
      <c r="N4" s="8" t="str">
        <f aca="false">"{""ship"":""" &amp; K4 &amp; """, " &amp; L2 &amp; M3 &amp; ", ""info"":""" &amp; K2 &amp; """, ""data"":["</f>
        <v>{"ship":"フェリーおき", "spans":["2024/3/11-2024/8/9", "2024/8/18-2024/11/29", "2024/12/21-2024/12/31"], "days":[], "info":"2024通常", "data":[</v>
      </c>
      <c r="P4" s="8" t="s">
        <v>23</v>
      </c>
      <c r="Q4" s="1" t="s">
        <v>20</v>
      </c>
      <c r="R4" s="1" t="s">
        <v>21</v>
      </c>
      <c r="S4" s="8" t="str">
        <f aca="false">"{""ship"":""" &amp; P4 &amp; """, " &amp; Q2 &amp; R3 &amp; ", ""info"":""" &amp; P2 &amp; """, ""data"":["</f>
        <v>{"ship":"フェリーくにが", "spans":["2024/3/11-2024/8/9", "2024/8/18-2024/11/29", "2024/12/21-2024/12/31"], "days":[], "info":"2024通常", "data":[</v>
      </c>
      <c r="U4" s="8" t="s">
        <v>22</v>
      </c>
      <c r="V4" s="1" t="s">
        <v>20</v>
      </c>
      <c r="W4" s="1" t="s">
        <v>21</v>
      </c>
      <c r="X4" s="8" t="str">
        <f aca="false">"{""ship"":""" &amp; U4 &amp; """, " &amp; V2 &amp; W3 &amp; ", ""info"":""" &amp; U2 &amp; """, ""data"":["</f>
        <v>{"ship":"フェリーしらしま", "spans":["2024/3/11-2024/8/9", "2024/8/18-2024/11/29", "2024/12/21-2024/12/31"], "days":[], "info":"2024通常", "data":[</v>
      </c>
      <c r="Z4" s="8" t="s">
        <v>19</v>
      </c>
      <c r="AA4" s="1" t="s">
        <v>20</v>
      </c>
      <c r="AB4" s="1" t="s">
        <v>21</v>
      </c>
      <c r="AC4" s="8" t="str">
        <f aca="false">"{""ship"":""" &amp; Z4 &amp; """, " &amp; AA2 &amp; AB3 &amp; ", ""info"":""" &amp; Z2 &amp; """, ""data"":["</f>
        <v>{"ship":"フェリーおき", "spans":["2024/8/10-2024/8/17"], "days":[], "info":"2024盆", "data":[</v>
      </c>
      <c r="AE4" s="8" t="s">
        <v>23</v>
      </c>
      <c r="AF4" s="1" t="s">
        <v>20</v>
      </c>
      <c r="AG4" s="1" t="s">
        <v>21</v>
      </c>
      <c r="AH4" s="8" t="str">
        <f aca="false">"{""ship"":""" &amp; AE4 &amp; """, " &amp; AF2 &amp; AG3 &amp; ", ""info"":""" &amp; AE2 &amp; """, ""data"":["</f>
        <v>{"ship":"フェリーくにが", "spans":["2024/8/10-2024/8/17"], "days":[], "info":"2024盆", "data":[</v>
      </c>
      <c r="AJ4" s="8" t="s">
        <v>22</v>
      </c>
      <c r="AK4" s="1" t="s">
        <v>20</v>
      </c>
      <c r="AL4" s="1" t="s">
        <v>21</v>
      </c>
      <c r="AM4" s="8" t="str">
        <f aca="false">"{""ship"":""" &amp; AJ4 &amp; """, " &amp; AK2 &amp; AL3 &amp; ", ""info"":""" &amp; AJ2 &amp; """, ""data"":["</f>
        <v>{"ship":"フェリーしらしま", "spans":["2024/8/10-2024/8/17"], "days":[], "info":"2024盆", "data":[</v>
      </c>
      <c r="AP4" s="8" t="s">
        <v>24</v>
      </c>
      <c r="AQ4" s="1" t="s">
        <v>20</v>
      </c>
      <c r="AR4" s="1" t="s">
        <v>21</v>
      </c>
      <c r="AS4" s="8" t="str">
        <f aca="false">"{""ship"":""" &amp; AP4 &amp; """, " &amp; AQ2 &amp; AR3 &amp; ", ""info"":""" &amp; AP2 &amp; """, ""data"":["</f>
        <v>{"ship":"レインボージェット", "spans":["2024/3/1-2024/3/31"], "days":[], "info":"2024年度末", "data":[</v>
      </c>
      <c r="AU4" s="8" t="s">
        <v>24</v>
      </c>
      <c r="AV4" s="1" t="s">
        <v>20</v>
      </c>
      <c r="AW4" s="1" t="s">
        <v>21</v>
      </c>
      <c r="AX4" s="8" t="str">
        <f aca="false">"{""ship"":""" &amp; AU4 &amp; """, " &amp; AV2 &amp; AW3 &amp; ", ""info"":""" &amp; AU2 &amp; """, ""data"":["</f>
        <v>{"ship":"レインボージェット", "spans":["2024/4/1-2024/4/26"], "days":[], "info":"2024年度初め", "data":[</v>
      </c>
      <c r="AZ4" s="8" t="s">
        <v>24</v>
      </c>
      <c r="BA4" s="1" t="s">
        <v>20</v>
      </c>
      <c r="BB4" s="1" t="s">
        <v>21</v>
      </c>
      <c r="BC4" s="8" t="str">
        <f aca="false">"{""ship"":""" &amp; AZ4 &amp; """, " &amp; BA2 &amp; BB3 &amp; ", ""info"":""" &amp; AZ2 &amp; """, ""data"":["</f>
        <v>{"ship":"レインボージェット", "spans":["2024/4/27-2024/5/26", "2024/6/1-2024/8/31"], "days":[], "info":"2024春夏", "data":[</v>
      </c>
      <c r="BE4" s="8" t="s">
        <v>24</v>
      </c>
      <c r="BF4" s="1" t="s">
        <v>20</v>
      </c>
      <c r="BG4" s="1" t="s">
        <v>21</v>
      </c>
      <c r="BH4" s="8" t="str">
        <f aca="false">"{""ship"":""" &amp; BE4 &amp; """, " &amp; BF2 &amp; BG3 &amp; ", ""info"":""" &amp; BE2 &amp; """, ""data"":["</f>
        <v>{"ship":"レインボージェット", "spans":["2024/9/1-2024/10/31"], "days":[], "info":"2024秋", "data":[</v>
      </c>
      <c r="BJ4" s="8" t="s">
        <v>24</v>
      </c>
      <c r="BK4" s="1" t="s">
        <v>20</v>
      </c>
      <c r="BL4" s="1" t="s">
        <v>21</v>
      </c>
      <c r="BM4" s="8" t="str">
        <f aca="false">"{""ship"":""" &amp; BJ4 &amp; """, " &amp; BK2 &amp; BL3 &amp; ", ""info"":""" &amp; BJ2 &amp; """, ""data"":["</f>
        <v>{"ship":"レインボージェット", "spans":["2024/11/1-2024/11/30"], "days":[], "info":"2024初冬", "data":[</v>
      </c>
      <c r="BP4" s="8" t="s">
        <v>25</v>
      </c>
      <c r="BQ4" s="1" t="s">
        <v>20</v>
      </c>
      <c r="BR4" s="1" t="s">
        <v>21</v>
      </c>
      <c r="BS4" s="8" t="str">
        <f aca="false">"{""ship"":""" &amp; BP4 &amp; """, " &amp; BQ2 &amp; BR3 &amp; ", ""info"":""" &amp; BP2 &amp; """, ""data"":["</f>
        <v>{"ship":"フェリーどうぜん", "spans":[], "days":["2023/12/31", "2024/1/2", "2024/1/3"], "info":"2024年末年始", "data":[</v>
      </c>
      <c r="BU4" s="8" t="s">
        <v>25</v>
      </c>
      <c r="BV4" s="1" t="s">
        <v>20</v>
      </c>
      <c r="BW4" s="1" t="s">
        <v>21</v>
      </c>
      <c r="BX4" s="8" t="str">
        <f aca="false">"{""ship"":""" &amp; BU4 &amp; """, " &amp; BV2 &amp; BW3 &amp; ", ""info"":""" &amp; BU2 &amp; """, ""data"":["</f>
        <v>{"ship":"フェリーどうぜん", "spans":[], "days":["2024/1/1"], "info":"2024元日", "data":[</v>
      </c>
      <c r="BZ4" s="8" t="s">
        <v>25</v>
      </c>
      <c r="CA4" s="1" t="s">
        <v>20</v>
      </c>
      <c r="CB4" s="1" t="s">
        <v>21</v>
      </c>
      <c r="CC4" s="8" t="str">
        <f aca="false">"{""ship"":""" &amp; BZ4 &amp; """, " &amp; CA2 &amp; CB3 &amp; ", ""info"":""" &amp; BZ2 &amp; """, ""data"":["</f>
        <v>{"ship":"フェリーどうぜん", "spans":["2024/1/4-2024/12/30"], "days":[], "info":"2024通常", "data":[</v>
      </c>
      <c r="CF4" s="8" t="s">
        <v>26</v>
      </c>
      <c r="CG4" s="1" t="s">
        <v>20</v>
      </c>
      <c r="CH4" s="1" t="s">
        <v>21</v>
      </c>
      <c r="CI4" s="8" t="str">
        <f aca="false">"{""ship"":""" &amp; CF4 &amp; """, " &amp; CG2 &amp; CH3 &amp; ", ""info"":""" &amp; CF2 &amp; """, ""data"":["</f>
        <v>{"ship":"いそかぜ", "spans":["2023/12/31-2024/1/3"], "days":[], "info":"2024年末年始", "data":[</v>
      </c>
      <c r="CK4" s="8" t="s">
        <v>26</v>
      </c>
      <c r="CL4" s="1" t="s">
        <v>20</v>
      </c>
      <c r="CM4" s="1" t="s">
        <v>21</v>
      </c>
      <c r="CN4" s="8" t="str">
        <f aca="false">"{""ship"":""" &amp; CK4 &amp; """, " &amp; CL2 &amp; CM3 &amp; ", ""info"":""" &amp; CK2 &amp; """, ""data"":["</f>
        <v>{"ship":"いそかぜ", "spans":["2024/1/4-2024/2/29", "2024/4/1-2024/8/31", "2024/11/1-2024/12/30"], "days":[], "info":"2024通常", "data":[</v>
      </c>
      <c r="CP4" s="8" t="s">
        <v>26</v>
      </c>
      <c r="CQ4" s="1" t="s">
        <v>20</v>
      </c>
      <c r="CR4" s="1" t="s">
        <v>21</v>
      </c>
      <c r="CS4" s="8" t="str">
        <f aca="false">"{""ship"":""" &amp; CP4 &amp; """, " &amp; CQ2 &amp; CR3 &amp; ", ""info"":""" &amp; CP2 &amp; """, ""data"":["</f>
        <v>{"ship":"いそかぜ", "spans":["2024/3/1-2024/3/31", "2024/9/1-2024/10/31"], "days":[], "info":"2024一部変更", "data":[</v>
      </c>
      <c r="CU4" s="8" t="s">
        <v>26</v>
      </c>
      <c r="CV4" s="1" t="s">
        <v>20</v>
      </c>
      <c r="CW4" s="1" t="s">
        <v>21</v>
      </c>
      <c r="CX4" s="8" t="str">
        <f aca="false">"{""ship"":""" &amp; CU4 &amp; """, " &amp; CV2 &amp; CW3 &amp; ", ""info"":""" &amp; CU2 &amp; """, ""data"":["</f>
        <v>{"ship":"いそかぜ", "spans":["2023/12/31-2024/1/3"], "days":[], "rinji":"来居欠航時", "info":"2024年末年始", "data":[</v>
      </c>
      <c r="CZ4" s="8" t="s">
        <v>26</v>
      </c>
      <c r="DA4" s="1" t="s">
        <v>20</v>
      </c>
      <c r="DB4" s="1" t="s">
        <v>21</v>
      </c>
      <c r="DC4" s="8" t="str">
        <f aca="false">"{""ship"":""" &amp; CZ4 &amp; """, " &amp; DA2 &amp; DB3 &amp; ", ""info"":""" &amp; CZ2 &amp; """, ""data"":["</f>
        <v>{"ship":"いそかぜ", "spans":["2024/1/4-2024/2/29", "2024/4/1-2024/12/30"], "days":[], "rinji":"来居欠航時", "info":"2024通常", "data":[</v>
      </c>
      <c r="DE4" s="8" t="s">
        <v>26</v>
      </c>
      <c r="DF4" s="1" t="s">
        <v>20</v>
      </c>
      <c r="DG4" s="1" t="s">
        <v>21</v>
      </c>
      <c r="DH4" s="8" t="str">
        <f aca="false">"{""ship"":""" &amp; DE4 &amp; """, " &amp; DF2 &amp; DG3 &amp; ", ""info"":""" &amp; DE2 &amp; """, ""data"":["</f>
        <v>{"ship":"いそかぜ", "spans":["2024/3/1-2024/3/31"], "days":[], "rinji":"来居欠航時", "info":"2024一部変更", "data":[</v>
      </c>
    </row>
    <row r="5" customFormat="false" ht="18" hidden="false" customHeight="false" outlineLevel="0" collapsed="false">
      <c r="A5" s="16" t="s">
        <v>27</v>
      </c>
      <c r="B5" s="16"/>
      <c r="C5" s="17" t="n">
        <v>0.375</v>
      </c>
      <c r="D5" s="1" t="str">
        <f aca="false">"[""" &amp; A5 &amp; """, """ &amp; IF(B5="","",TEXT(B5,"h:mm")) &amp; """, """ &amp; IF(C5="","",TEXT(C5,"h:mm")) &amp; """],"</f>
        <v>["七類", "", "9:00"],</v>
      </c>
      <c r="E5" s="18" t="str">
        <f aca="false">IF(AND(LEN(B5)&lt;&gt;0,LEN(C5)&lt;&gt;0),((HOUR(C5)*60)+MINUTE(C5))-((HOUR(B5)*60)+MINUTE(B5)),"")</f>
        <v/>
      </c>
      <c r="F5" s="16" t="s">
        <v>28</v>
      </c>
      <c r="G5" s="16"/>
      <c r="H5" s="17" t="n">
        <v>0.354166666666667</v>
      </c>
      <c r="I5" s="1" t="str">
        <f aca="false">"[""" &amp; F5 &amp; """, """ &amp; IF(G5="","",TEXT(G5,"h:mm")) &amp; """, """ &amp; IF(H5="","",TEXT(H5,"h:mm")) &amp; """],"</f>
        <v>["西郷", "", "8:30"],</v>
      </c>
      <c r="J5" s="18" t="str">
        <f aca="false">IF(AND(LEN(G5)&lt;&gt;0,LEN(H5)&lt;&gt;0),((HOUR(H5)*60)+MINUTE(H5))-((HOUR(G5)*60)+MINUTE(G5)),"")</f>
        <v/>
      </c>
      <c r="K5" s="16" t="s">
        <v>27</v>
      </c>
      <c r="L5" s="16"/>
      <c r="M5" s="17" t="n">
        <v>0.375</v>
      </c>
      <c r="N5" s="1" t="str">
        <f aca="false">"[""" &amp; K5 &amp; """, """ &amp; IF(L5="","",TEXT(L5,"h:mm")) &amp; """, """ &amp; IF(M5="","",TEXT(M5,"h:mm")) &amp; """],"</f>
        <v>["七類", "", "9:00"],</v>
      </c>
      <c r="O5" s="18" t="str">
        <f aca="false">IF(AND(LEN(L5)&lt;&gt;0,LEN(M5)&lt;&gt;0),((HOUR(M5)*60)+MINUTE(M5))-((HOUR(L5)*60)+MINUTE(L5)),"")</f>
        <v/>
      </c>
      <c r="P5" s="16" t="s">
        <v>27</v>
      </c>
      <c r="Q5" s="16"/>
      <c r="R5" s="17" t="n">
        <v>0.395833333333333</v>
      </c>
      <c r="S5" s="1" t="str">
        <f aca="false">"[""" &amp; P5 &amp; """, """ &amp; IF(Q5="","",TEXT(Q5,"h:mm")) &amp; """, """ &amp; IF(R5="","",TEXT(R5,"h:mm")) &amp; """],"</f>
        <v>["七類", "", "9:30"],</v>
      </c>
      <c r="T5" s="18" t="str">
        <f aca="false">IF(AND(LEN(Q5)&lt;&gt;0,LEN(R5)&lt;&gt;0),((HOUR(R5)*60)+MINUTE(R5))-((HOUR(Q5)*60)+MINUTE(Q5)),"")</f>
        <v/>
      </c>
      <c r="U5" s="16" t="s">
        <v>28</v>
      </c>
      <c r="V5" s="16"/>
      <c r="W5" s="17" t="n">
        <v>0.354166666666667</v>
      </c>
      <c r="X5" s="1" t="str">
        <f aca="false">"[""" &amp; U5 &amp; """, """ &amp; IF(V5="","",TEXT(V5,"h:mm")) &amp; """, """ &amp; IF(W5="","",TEXT(W5,"h:mm")) &amp; """],"</f>
        <v>["西郷", "", "8:30"],</v>
      </c>
      <c r="Y5" s="18" t="str">
        <f aca="false">IF(AND(LEN(V5)&lt;&gt;0,LEN(W5)&lt;&gt;0),((HOUR(W5)*60)+MINUTE(W5))-((HOUR(V5)*60)+MINUTE(V5)),"")</f>
        <v/>
      </c>
      <c r="Z5" s="16" t="s">
        <v>27</v>
      </c>
      <c r="AA5" s="16"/>
      <c r="AB5" s="17" t="n">
        <v>0.375</v>
      </c>
      <c r="AC5" s="1" t="str">
        <f aca="false">"[""" &amp; Z5 &amp; """, """ &amp; IF(AA5="","",TEXT(AA5,"h:mm")) &amp; """, """ &amp; IF(AB5="","",TEXT(AB5,"h:mm")) &amp; """],"</f>
        <v>["七類", "", "9:00"],</v>
      </c>
      <c r="AD5" s="18" t="str">
        <f aca="false">IF(AND(LEN(AA5)&lt;&gt;0,LEN(AB5)&lt;&gt;0),((HOUR(AB5)*60)+MINUTE(AB5))-((HOUR(AA5)*60)+MINUTE(AA5)),"")</f>
        <v/>
      </c>
      <c r="AE5" s="16" t="s">
        <v>27</v>
      </c>
      <c r="AF5" s="16"/>
      <c r="AG5" s="17" t="n">
        <v>0.395833333333333</v>
      </c>
      <c r="AH5" s="1" t="str">
        <f aca="false">"[""" &amp; AE5 &amp; """, """ &amp; IF(AF5="","",TEXT(AF5,"h:mm")) &amp; """, """ &amp; IF(AG5="","",TEXT(AG5,"h:mm")) &amp; """],"</f>
        <v>["七類", "", "9:30"],</v>
      </c>
      <c r="AI5" s="18" t="str">
        <f aca="false">IF(AND(LEN(AF5)&lt;&gt;0,LEN(AG5)&lt;&gt;0),((HOUR(AG5)*60)+MINUTE(AG5))-((HOUR(AF5)*60)+MINUTE(AF5)),"")</f>
        <v/>
      </c>
      <c r="AJ5" s="16" t="s">
        <v>28</v>
      </c>
      <c r="AK5" s="16"/>
      <c r="AL5" s="17" t="n">
        <v>0.354166666666667</v>
      </c>
      <c r="AM5" s="1" t="str">
        <f aca="false">"[""" &amp; AJ5 &amp; """, """ &amp; IF(AK5="","",TEXT(AK5,"h:mm")) &amp; """, """ &amp; IF(AL5="","",TEXT(AL5,"h:mm")) &amp; """],"</f>
        <v>["西郷", "", "8:30"],</v>
      </c>
      <c r="AN5" s="18" t="str">
        <f aca="false">IF(AND(LEN(AK5)&lt;&gt;0,LEN(AL5)&lt;&gt;0),((HOUR(AL5)*60)+MINUTE(AL5))-((HOUR(AK5)*60)+MINUTE(AK5)),"")</f>
        <v/>
      </c>
      <c r="AP5" s="16" t="s">
        <v>29</v>
      </c>
      <c r="AQ5" s="16"/>
      <c r="AR5" s="16" t="n">
        <v>0.333333333333333</v>
      </c>
      <c r="AS5" s="1" t="str">
        <f aca="false">"[""" &amp; AP5 &amp; """, """ &amp; IF(AQ5="","",TEXT(AQ5,"h:mm")) &amp; """, """ &amp; IF(AR5="","",TEXT(AR5,"h:mm")) &amp; """],"</f>
        <v>["別府", "", "8:00"],</v>
      </c>
      <c r="AT5" s="18" t="str">
        <f aca="false">IF(AND(LEN(AQ5)&lt;&gt;0,LEN(AR5)&lt;&gt;0),((HOUR(AR5)*60)+MINUTE(AR5))-((HOUR(AQ5)*60)+MINUTE(AQ5)),"")</f>
        <v/>
      </c>
      <c r="AU5" s="16" t="s">
        <v>29</v>
      </c>
      <c r="AV5" s="16"/>
      <c r="AW5" s="16" t="n">
        <v>0.333333333333333</v>
      </c>
      <c r="AX5" s="1" t="str">
        <f aca="false">"[""" &amp; AU5 &amp; """, """ &amp; IF(AV5="","",TEXT(AV5,"h:mm")) &amp; """, """ &amp; IF(AW5="","",TEXT(AW5,"h:mm")) &amp; """],"</f>
        <v>["別府", "", "8:00"],</v>
      </c>
      <c r="AY5" s="18" t="str">
        <f aca="false">IF(AND(LEN(AV5)&lt;&gt;0,LEN(AW5)&lt;&gt;0),((HOUR(AW5)*60)+MINUTE(AW5))-((HOUR(AV5)*60)+MINUTE(AV5)),"")</f>
        <v/>
      </c>
      <c r="AZ5" s="16" t="s">
        <v>29</v>
      </c>
      <c r="BA5" s="16"/>
      <c r="BB5" s="16" t="n">
        <v>0.319444444444445</v>
      </c>
      <c r="BC5" s="1" t="str">
        <f aca="false">"[""" &amp; AZ5 &amp; """, """ &amp; IF(BA5="","",TEXT(BA5,"h:mm")) &amp; """, """ &amp; IF(BB5="","",TEXT(BB5,"h:mm")) &amp; """],"</f>
        <v>["別府", "", "7:40"],</v>
      </c>
      <c r="BD5" s="18" t="str">
        <f aca="false">IF(AND(LEN(BA5)&lt;&gt;0,LEN(BB5)&lt;&gt;0),((HOUR(BB5)*60)+MINUTE(BB5))-((HOUR(BA5)*60)+MINUTE(BA5)),"")</f>
        <v/>
      </c>
      <c r="BE5" s="16" t="s">
        <v>29</v>
      </c>
      <c r="BF5" s="16"/>
      <c r="BG5" s="16" t="n">
        <v>0.319444444444445</v>
      </c>
      <c r="BH5" s="1" t="str">
        <f aca="false">"[""" &amp; BE5 &amp; """, """ &amp; IF(BF5="","",TEXT(BF5,"h:mm")) &amp; """, """ &amp; IF(BG5="","",TEXT(BG5,"h:mm")) &amp; """],"</f>
        <v>["別府", "", "7:40"],</v>
      </c>
      <c r="BI5" s="18" t="str">
        <f aca="false">IF(AND(LEN(BF5)&lt;&gt;0,LEN(BG5)&lt;&gt;0),((HOUR(BG5)*60)+MINUTE(BG5))-((HOUR(BF5)*60)+MINUTE(BF5)),"")</f>
        <v/>
      </c>
      <c r="BJ5" s="16" t="s">
        <v>29</v>
      </c>
      <c r="BK5" s="16"/>
      <c r="BL5" s="16" t="n">
        <v>0.333333333333333</v>
      </c>
      <c r="BM5" s="1" t="str">
        <f aca="false">"[""" &amp; BJ5 &amp; """, """ &amp; IF(BK5="","",TEXT(BK5,"h:mm")) &amp; """, """ &amp; IF(BL5="","",TEXT(BL5,"h:mm")) &amp; """],"</f>
        <v>["別府", "", "8:00"],</v>
      </c>
      <c r="BN5" s="18" t="str">
        <f aca="false">IF(AND(LEN(BK5)&lt;&gt;0,LEN(BL5)&lt;&gt;0),((HOUR(BL5)*60)+MINUTE(BL5))-((HOUR(BK5)*60)+MINUTE(BK5)),"")</f>
        <v/>
      </c>
      <c r="BP5" s="19" t="s">
        <v>30</v>
      </c>
      <c r="BR5" s="19" t="n">
        <v>0.385416666666667</v>
      </c>
      <c r="BS5" s="1" t="str">
        <f aca="false">"[""" &amp; BP5 &amp; """, """ &amp; IF(BQ5="","",TEXT(BQ5,"h:mm")) &amp; """, """ &amp; IF(BR5="","",TEXT(BR5,"h:mm")) &amp; """],"</f>
        <v>["菱浦", "", "9:15"],</v>
      </c>
      <c r="BT5" s="18" t="str">
        <f aca="false">IF(AND(LEN(BQ5)&lt;&gt;0,LEN(BR5)&lt;&gt;0),((HOUR(BR5)*60)+MINUTE(BR5))-((HOUR(BQ5)*60)+MINUTE(BQ5)),"")</f>
        <v/>
      </c>
      <c r="BU5" s="19" t="s">
        <v>30</v>
      </c>
      <c r="BW5" s="19" t="n">
        <v>0.645833333333333</v>
      </c>
      <c r="BX5" s="1" t="str">
        <f aca="false">"[""" &amp; BU5 &amp; """, """ &amp; IF(BV5="","",TEXT(BV5,"h:mm")) &amp; """, """ &amp; IF(BW5="","",TEXT(BW5,"h:mm")) &amp; """],"</f>
        <v>["菱浦", "", "15:30"],</v>
      </c>
      <c r="BY5" s="18" t="str">
        <f aca="false">IF(AND(LEN(BV5)&lt;&gt;0,LEN(BW5)&lt;&gt;0),((HOUR(BW5)*60)+MINUTE(BW5))-((HOUR(BV5)*60)+MINUTE(BV5)),"")</f>
        <v/>
      </c>
      <c r="BZ5" s="19" t="s">
        <v>30</v>
      </c>
      <c r="CA5" s="19"/>
      <c r="CB5" s="19" t="n">
        <v>0.3125</v>
      </c>
      <c r="CC5" s="1" t="str">
        <f aca="false">"[""" &amp; BZ5 &amp; """, """ &amp; IF(CA5="","",TEXT(CA5,"h:mm")) &amp; """, """ &amp; IF(CB5="","",TEXT(CB5,"h:mm")) &amp; """],"</f>
        <v>["菱浦", "", "7:30"],</v>
      </c>
      <c r="CD5" s="18" t="str">
        <f aca="false">IF(AND(LEN(CA5)&lt;&gt;0,LEN(CB5)&lt;&gt;0),((HOUR(CB5)*60)+MINUTE(CB5))-((HOUR(CA5)*60)+MINUTE(CA5)),"")</f>
        <v/>
      </c>
      <c r="CF5" s="20" t="s">
        <v>29</v>
      </c>
      <c r="CH5" s="20" t="n">
        <v>0.333333333333333</v>
      </c>
      <c r="CI5" s="1" t="str">
        <f aca="false">"[""" &amp; CF5 &amp; """, """ &amp; IF(CG5="","",TEXT(CG5,"h:mm")) &amp; """, """ &amp; IF(CH5="","",TEXT(CH5,"h:mm")) &amp; """],"</f>
        <v>["別府", "", "8:00"],</v>
      </c>
      <c r="CJ5" s="18" t="str">
        <f aca="false">IF(AND(LEN(CG5)&lt;&gt;0,LEN(CH5)&lt;&gt;0),((HOUR(CH5)*60)+MINUTE(CH5))-((HOUR(CG5)*60)+MINUTE(CG5)),"")</f>
        <v/>
      </c>
      <c r="CK5" s="21" t="s">
        <v>31</v>
      </c>
      <c r="CM5" s="22" t="n">
        <v>0.303472222222222</v>
      </c>
      <c r="CN5" s="1" t="str">
        <f aca="false">"[""" &amp; CK5 &amp; """, """ &amp; IF(CL5="","",TEXT(CL5,"h:mm")) &amp; """, """ &amp; IF(CM5="","",TEXT(CM5,"h:mm")) &amp; """],"</f>
        <v>["来居", "", "7:17"],</v>
      </c>
      <c r="CO5" s="18" t="str">
        <f aca="false">IF(AND(LEN(CL5)&lt;&gt;0,LEN(CM5)&lt;&gt;0),((HOUR(CM5)*60)+MINUTE(CM5))-((HOUR(CL5)*60)+MINUTE(CL5)),"")</f>
        <v/>
      </c>
      <c r="CP5" s="21" t="s">
        <v>31</v>
      </c>
      <c r="CR5" s="22" t="n">
        <v>0.303472222222222</v>
      </c>
      <c r="CS5" s="1" t="str">
        <f aca="false">"[""" &amp; CP5 &amp; """, """ &amp; IF(CQ5="","",TEXT(CQ5,"h:mm")) &amp; """, """ &amp; IF(CR5="","",TEXT(CR5,"h:mm")) &amp; """],"</f>
        <v>["来居", "", "7:17"],</v>
      </c>
      <c r="CT5" s="18" t="str">
        <f aca="false">IF(AND(LEN(CQ5)&lt;&gt;0,LEN(CR5)&lt;&gt;0),((HOUR(CR5)*60)+MINUTE(CR5))-((HOUR(CQ5)*60)+MINUTE(CQ5)),"")</f>
        <v/>
      </c>
      <c r="CU5" s="20" t="s">
        <v>29</v>
      </c>
      <c r="CW5" s="20" t="n">
        <v>0.333333333333333</v>
      </c>
      <c r="CX5" s="1" t="str">
        <f aca="false">"[""" &amp; CU5 &amp; """, """ &amp; IF(CV5="","",TEXT(CV5,"h:mm")) &amp; """, """ &amp; IF(CW5="","",TEXT(CW5,"h:mm")) &amp; """],"</f>
        <v>["別府", "", "8:00"],</v>
      </c>
      <c r="CY5" s="18" t="str">
        <f aca="false">IF(AND(LEN(CV5)&lt;&gt;0,LEN(CW5)&lt;&gt;0),((HOUR(CW5)*60)+MINUTE(CW5))-((HOUR(CV5)*60)+MINUTE(CV5)),"")</f>
        <v/>
      </c>
      <c r="CZ5" s="19" t="s">
        <v>30</v>
      </c>
      <c r="DA5" s="19"/>
      <c r="DB5" s="19" t="n">
        <v>0.317361111111111</v>
      </c>
      <c r="DC5" s="1" t="str">
        <f aca="false">"[""" &amp; CZ5 &amp; """, """ &amp; IF(DA5="","",TEXT(DA5,"h:mm")) &amp; """, """ &amp; IF(DB5="","",TEXT(DB5,"h:mm")) &amp; """],"</f>
        <v>["菱浦", "", "7:37"],</v>
      </c>
      <c r="DD5" s="18" t="str">
        <f aca="false">IF(AND(LEN(DA5)&lt;&gt;0,LEN(DB5)&lt;&gt;0),((HOUR(DB5)*60)+MINUTE(DB5))-((HOUR(DA5)*60)+MINUTE(DA5)),"")</f>
        <v/>
      </c>
      <c r="DE5" s="19" t="s">
        <v>30</v>
      </c>
      <c r="DF5" s="19"/>
      <c r="DG5" s="19" t="n">
        <v>0.317361111111111</v>
      </c>
      <c r="DH5" s="1" t="str">
        <f aca="false">"[""" &amp; DE5 &amp; """, """ &amp; IF(DF5="","",TEXT(DF5,"h:mm")) &amp; """, """ &amp; IF(DG5="","",TEXT(DG5,"h:mm")) &amp; """],"</f>
        <v>["菱浦", "", "7:37"],</v>
      </c>
      <c r="DI5" s="18" t="str">
        <f aca="false">IF(AND(LEN(DF5)&lt;&gt;0,LEN(DG5)&lt;&gt;0),((HOUR(DG5)*60)+MINUTE(DG5))-((HOUR(DF5)*60)+MINUTE(DF5)),"")</f>
        <v/>
      </c>
    </row>
    <row r="6" customFormat="false" ht="18" hidden="false" customHeight="false" outlineLevel="0" collapsed="false">
      <c r="A6" s="16" t="s">
        <v>28</v>
      </c>
      <c r="B6" s="17" t="n">
        <v>0.475694444444444</v>
      </c>
      <c r="C6" s="17" t="n">
        <v>0.5</v>
      </c>
      <c r="D6" s="1" t="str">
        <f aca="false">"[""" &amp; A6 &amp; """, """ &amp; IF(B6="","",TEXT(B6,"h:mm")) &amp; """, """ &amp; IF(C6="","",TEXT(C6,"h:mm")) &amp; """],"</f>
        <v>["西郷", "11:25", "12:00"],</v>
      </c>
      <c r="E6" s="18" t="n">
        <f aca="false">IF(AND(LEN(B6)&lt;&gt;0,LEN(C6)&lt;&gt;0),((HOUR(C6)*60)+MINUTE(C6))-((HOUR(B6)*60)+MINUTE(B6)),"")</f>
        <v>35</v>
      </c>
      <c r="F6" s="16" t="s">
        <v>30</v>
      </c>
      <c r="G6" s="17" t="n">
        <v>0.402777777777778</v>
      </c>
      <c r="H6" s="16" t="n">
        <v>0.409722222222222</v>
      </c>
      <c r="I6" s="1" t="str">
        <f aca="false">"[""" &amp; F6 &amp; """, """ &amp; IF(G6="","",TEXT(G6,"h:mm")) &amp; """, """ &amp; IF(H6="","",TEXT(H6,"h:mm")) &amp; """],"</f>
        <v>["菱浦", "9:40", "9:50"],</v>
      </c>
      <c r="J6" s="18" t="n">
        <f aca="false">IF(AND(LEN(G6)&lt;&gt;0,LEN(H6)&lt;&gt;0),((HOUR(H6)*60)+MINUTE(H6))-((HOUR(G6)*60)+MINUTE(G6)),"")</f>
        <v>10</v>
      </c>
      <c r="K6" s="16" t="s">
        <v>28</v>
      </c>
      <c r="L6" s="17" t="n">
        <v>0.475694444444444</v>
      </c>
      <c r="M6" s="17" t="n">
        <v>0.503472222222222</v>
      </c>
      <c r="N6" s="1" t="str">
        <f aca="false">"[""" &amp; K6 &amp; """, """ &amp; IF(L6="","",TEXT(L6,"h:mm")) &amp; """, """ &amp; IF(M6="","",TEXT(M6,"h:mm")) &amp; """],"</f>
        <v>["西郷", "11:25", "12:05"],</v>
      </c>
      <c r="O6" s="18" t="n">
        <f aca="false">IF(AND(LEN(L6)&lt;&gt;0,LEN(M6)&lt;&gt;0),((HOUR(M6)*60)+MINUTE(M6))-((HOUR(L6)*60)+MINUTE(L6)),"")</f>
        <v>40</v>
      </c>
      <c r="P6" s="16" t="s">
        <v>31</v>
      </c>
      <c r="Q6" s="17" t="n">
        <v>0.479166666666667</v>
      </c>
      <c r="R6" s="16" t="n">
        <v>0.482638888888889</v>
      </c>
      <c r="S6" s="1" t="str">
        <f aca="false">"[""" &amp; P6 &amp; """, """ &amp; IF(Q6="","",TEXT(Q6,"h:mm")) &amp; """, """ &amp; IF(R6="","",TEXT(R6,"h:mm")) &amp; """],"</f>
        <v>["来居", "11:30", "11:35"],</v>
      </c>
      <c r="T6" s="18" t="n">
        <f aca="false">IF(AND(LEN(Q6)&lt;&gt;0,LEN(R6)&lt;&gt;0),((HOUR(R6)*60)+MINUTE(R6))-((HOUR(Q6)*60)+MINUTE(Q6)),"")</f>
        <v>5</v>
      </c>
      <c r="U6" s="16" t="s">
        <v>30</v>
      </c>
      <c r="V6" s="17" t="n">
        <v>0.402777777777778</v>
      </c>
      <c r="W6" s="16" t="n">
        <v>0.409722222222222</v>
      </c>
      <c r="X6" s="1" t="str">
        <f aca="false">"[""" &amp; U6 &amp; """, """ &amp; IF(V6="","",TEXT(V6,"h:mm")) &amp; """, """ &amp; IF(W6="","",TEXT(W6,"h:mm")) &amp; """],"</f>
        <v>["菱浦", "9:40", "9:50"],</v>
      </c>
      <c r="Y6" s="18" t="n">
        <f aca="false">IF(AND(LEN(V6)&lt;&gt;0,LEN(W6)&lt;&gt;0),((HOUR(W6)*60)+MINUTE(W6))-((HOUR(V6)*60)+MINUTE(V6)),"")</f>
        <v>10</v>
      </c>
      <c r="Z6" s="16" t="s">
        <v>28</v>
      </c>
      <c r="AA6" s="17" t="n">
        <v>0.475694444444444</v>
      </c>
      <c r="AB6" s="17" t="n">
        <v>0.496527777777778</v>
      </c>
      <c r="AC6" s="1" t="str">
        <f aca="false">"[""" &amp; Z6 &amp; """, """ &amp; IF(AA6="","",TEXT(AA6,"h:mm")) &amp; """, """ &amp; IF(AB6="","",TEXT(AB6,"h:mm")) &amp; """],"</f>
        <v>["西郷", "11:25", "11:55"],</v>
      </c>
      <c r="AD6" s="18" t="n">
        <f aca="false">IF(AND(LEN(AA6)&lt;&gt;0,LEN(AB6)&lt;&gt;0),((HOUR(AB6)*60)+MINUTE(AB6))-((HOUR(AA6)*60)+MINUTE(AA6)),"")</f>
        <v>30</v>
      </c>
      <c r="AE6" s="16" t="s">
        <v>31</v>
      </c>
      <c r="AF6" s="17" t="n">
        <v>0.479166666666667</v>
      </c>
      <c r="AG6" s="16" t="n">
        <v>0.482638888888889</v>
      </c>
      <c r="AH6" s="1" t="str">
        <f aca="false">"[""" &amp; AE6 &amp; """, """ &amp; IF(AF6="","",TEXT(AF6,"h:mm")) &amp; """, """ &amp; IF(AG6="","",TEXT(AG6,"h:mm")) &amp; """],"</f>
        <v>["来居", "11:30", "11:35"],</v>
      </c>
      <c r="AI6" s="18" t="n">
        <f aca="false">IF(AND(LEN(AF6)&lt;&gt;0,LEN(AG6)&lt;&gt;0),((HOUR(AG6)*60)+MINUTE(AG6))-((HOUR(AF6)*60)+MINUTE(AF6)),"")</f>
        <v>5</v>
      </c>
      <c r="AJ6" s="16" t="s">
        <v>30</v>
      </c>
      <c r="AK6" s="17" t="n">
        <v>0.402777777777778</v>
      </c>
      <c r="AL6" s="16" t="n">
        <v>0.409722222222222</v>
      </c>
      <c r="AM6" s="1" t="str">
        <f aca="false">"[""" &amp; AJ6 &amp; """, """ &amp; IF(AK6="","",TEXT(AK6,"h:mm")) &amp; """, """ &amp; IF(AL6="","",TEXT(AL6,"h:mm")) &amp; """],"</f>
        <v>["菱浦", "9:40", "9:50"],</v>
      </c>
      <c r="AN6" s="18" t="n">
        <f aca="false">IF(AND(LEN(AK6)&lt;&gt;0,LEN(AL6)&lt;&gt;0),((HOUR(AL6)*60)+MINUTE(AL6))-((HOUR(AK6)*60)+MINUTE(AK6)),"")</f>
        <v>10</v>
      </c>
      <c r="AP6" s="16" t="s">
        <v>30</v>
      </c>
      <c r="AQ6" s="16" t="n">
        <v>0.340277777777778</v>
      </c>
      <c r="AR6" s="17" t="n">
        <v>0.343055555555556</v>
      </c>
      <c r="AS6" s="1" t="str">
        <f aca="false">"[""" &amp; AP6 &amp; """, """ &amp; IF(AQ6="","",TEXT(AQ6,"h:mm")) &amp; """, """ &amp; IF(AR6="","",TEXT(AR6,"h:mm")) &amp; """],"</f>
        <v>["菱浦", "8:10", "8:14"],</v>
      </c>
      <c r="AT6" s="18" t="n">
        <f aca="false">IF(AND(LEN(AQ6)&lt;&gt;0,LEN(AR6)&lt;&gt;0),((HOUR(AR6)*60)+MINUTE(AR6))-((HOUR(AQ6)*60)+MINUTE(AQ6)),"")</f>
        <v>4</v>
      </c>
      <c r="AU6" s="16" t="s">
        <v>30</v>
      </c>
      <c r="AV6" s="16" t="n">
        <v>0.340277777777778</v>
      </c>
      <c r="AW6" s="17" t="n">
        <v>0.343055555555556</v>
      </c>
      <c r="AX6" s="1" t="str">
        <f aca="false">"[""" &amp; AU6 &amp; """, """ &amp; IF(AV6="","",TEXT(AV6,"h:mm")) &amp; """, """ &amp; IF(AW6="","",TEXT(AW6,"h:mm")) &amp; """],"</f>
        <v>["菱浦", "8:10", "8:14"],</v>
      </c>
      <c r="AY6" s="18" t="n">
        <f aca="false">IF(AND(LEN(AV6)&lt;&gt;0,LEN(AW6)&lt;&gt;0),((HOUR(AW6)*60)+MINUTE(AW6))-((HOUR(AV6)*60)+MINUTE(AV6)),"")</f>
        <v>4</v>
      </c>
      <c r="AZ6" s="16" t="s">
        <v>30</v>
      </c>
      <c r="BA6" s="16" t="n">
        <v>0.326388888888889</v>
      </c>
      <c r="BB6" s="17" t="n">
        <v>0.329166666666667</v>
      </c>
      <c r="BC6" s="1" t="str">
        <f aca="false">"[""" &amp; AZ6 &amp; """, """ &amp; IF(BA6="","",TEXT(BA6,"h:mm")) &amp; """, """ &amp; IF(BB6="","",TEXT(BB6,"h:mm")) &amp; """],"</f>
        <v>["菱浦", "7:50", "7:54"],</v>
      </c>
      <c r="BD6" s="18" t="n">
        <f aca="false">IF(AND(LEN(BA6)&lt;&gt;0,LEN(BB6)&lt;&gt;0),((HOUR(BB6)*60)+MINUTE(BB6))-((HOUR(BA6)*60)+MINUTE(BA6)),"")</f>
        <v>4</v>
      </c>
      <c r="BE6" s="16" t="s">
        <v>30</v>
      </c>
      <c r="BF6" s="16" t="n">
        <v>0.326388888888889</v>
      </c>
      <c r="BG6" s="17" t="n">
        <v>0.329166666666667</v>
      </c>
      <c r="BH6" s="1" t="str">
        <f aca="false">"[""" &amp; BE6 &amp; """, """ &amp; IF(BF6="","",TEXT(BF6,"h:mm")) &amp; """, """ &amp; IF(BG6="","",TEXT(BG6,"h:mm")) &amp; """],"</f>
        <v>["菱浦", "7:50", "7:54"],</v>
      </c>
      <c r="BI6" s="18" t="n">
        <f aca="false">IF(AND(LEN(BF6)&lt;&gt;0,LEN(BG6)&lt;&gt;0),((HOUR(BG6)*60)+MINUTE(BG6))-((HOUR(BF6)*60)+MINUTE(BF6)),"")</f>
        <v>4</v>
      </c>
      <c r="BJ6" s="16" t="s">
        <v>30</v>
      </c>
      <c r="BK6" s="16" t="n">
        <v>0.340277777777778</v>
      </c>
      <c r="BL6" s="17" t="n">
        <v>0.343055555555556</v>
      </c>
      <c r="BM6" s="1" t="str">
        <f aca="false">"[""" &amp; BJ6 &amp; """, """ &amp; IF(BK6="","",TEXT(BK6,"h:mm")) &amp; """, """ &amp; IF(BL6="","",TEXT(BL6,"h:mm")) &amp; """],"</f>
        <v>["菱浦", "8:10", "8:14"],</v>
      </c>
      <c r="BN6" s="18" t="n">
        <f aca="false">IF(AND(LEN(BK6)&lt;&gt;0,LEN(BL6)&lt;&gt;0),((HOUR(BL6)*60)+MINUTE(BL6))-((HOUR(BK6)*60)+MINUTE(BK6)),"")</f>
        <v>4</v>
      </c>
      <c r="BP6" s="20" t="s">
        <v>29</v>
      </c>
      <c r="BQ6" s="20" t="n">
        <v>0.395833333333333</v>
      </c>
      <c r="BR6" s="20" t="n">
        <v>0.399305555555556</v>
      </c>
      <c r="BS6" s="1" t="str">
        <f aca="false">"[""" &amp; BP6 &amp; """, """ &amp; IF(BQ6="","",TEXT(BQ6,"h:mm")) &amp; """, """ &amp; IF(BR6="","",TEXT(BR6,"h:mm")) &amp; """],"</f>
        <v>["別府", "9:30", "9:35"],</v>
      </c>
      <c r="BT6" s="18" t="n">
        <f aca="false">IF(AND(LEN(BQ6)&lt;&gt;0,LEN(BR6)&lt;&gt;0),((HOUR(BR6)*60)+MINUTE(BR6))-((HOUR(BQ6)*60)+MINUTE(BQ6)),"")</f>
        <v>5</v>
      </c>
      <c r="BU6" s="20" t="s">
        <v>29</v>
      </c>
      <c r="BV6" s="20" t="n">
        <v>0.65625</v>
      </c>
      <c r="BW6" s="20" t="n">
        <v>0.659722222222222</v>
      </c>
      <c r="BX6" s="1" t="str">
        <f aca="false">"[""" &amp; BU6 &amp; """, """ &amp; IF(BV6="","",TEXT(BV6,"h:mm")) &amp; """, """ &amp; IF(BW6="","",TEXT(BW6,"h:mm")) &amp; """],"</f>
        <v>["別府", "15:45", "15:50"],</v>
      </c>
      <c r="BY6" s="18" t="n">
        <f aca="false">IF(AND(LEN(BV6)&lt;&gt;0,LEN(BW6)&lt;&gt;0),((HOUR(BW6)*60)+MINUTE(BW6))-((HOUR(BV6)*60)+MINUTE(BV6)),"")</f>
        <v>5</v>
      </c>
      <c r="BZ6" s="20" t="s">
        <v>29</v>
      </c>
      <c r="CA6" s="20" t="n">
        <v>0.322916666666667</v>
      </c>
      <c r="CB6" s="20" t="n">
        <v>0.326388888888889</v>
      </c>
      <c r="CC6" s="1" t="str">
        <f aca="false">"[""" &amp; BZ6 &amp; """, """ &amp; IF(CA6="","",TEXT(CA6,"h:mm")) &amp; """, """ &amp; IF(CB6="","",TEXT(CB6,"h:mm")) &amp; """],"</f>
        <v>["別府", "7:45", "7:50"],</v>
      </c>
      <c r="CD6" s="18" t="n">
        <f aca="false">IF(AND(LEN(CA6)&lt;&gt;0,LEN(CB6)&lt;&gt;0),((HOUR(CB6)*60)+MINUTE(CB6))-((HOUR(CA6)*60)+MINUTE(CA6)),"")</f>
        <v>5</v>
      </c>
      <c r="CF6" s="19" t="s">
        <v>30</v>
      </c>
      <c r="CG6" s="19" t="n">
        <v>0.338888888888889</v>
      </c>
      <c r="CH6" s="19" t="n">
        <v>0.340277777777778</v>
      </c>
      <c r="CI6" s="1" t="str">
        <f aca="false">"[""" &amp; CF6 &amp; """, """ &amp; IF(CG6="","",TEXT(CG6,"h:mm")) &amp; """, """ &amp; IF(CH6="","",TEXT(CH6,"h:mm")) &amp; """],"</f>
        <v>["菱浦", "8:08", "8:10"],</v>
      </c>
      <c r="CJ6" s="18" t="n">
        <f aca="false">IF(AND(LEN(CG6)&lt;&gt;0,LEN(CH6)&lt;&gt;0),((HOUR(CH6)*60)+MINUTE(CH6))-((HOUR(CG6)*60)+MINUTE(CG6)),"")</f>
        <v>2</v>
      </c>
      <c r="CK6" s="19" t="s">
        <v>30</v>
      </c>
      <c r="CL6" s="19" t="n">
        <v>0.315972222222222</v>
      </c>
      <c r="CM6" s="19" t="n">
        <v>0.317361111111111</v>
      </c>
      <c r="CN6" s="1" t="str">
        <f aca="false">"[""" &amp; CK6 &amp; """, """ &amp; IF(CL6="","",TEXT(CL6,"h:mm")) &amp; """, """ &amp; IF(CM6="","",TEXT(CM6,"h:mm")) &amp; """],"</f>
        <v>["菱浦", "7:35", "7:37"],</v>
      </c>
      <c r="CO6" s="18" t="n">
        <f aca="false">IF(AND(LEN(CL6)&lt;&gt;0,LEN(CM6)&lt;&gt;0),((HOUR(CM6)*60)+MINUTE(CM6))-((HOUR(CL6)*60)+MINUTE(CL6)),"")</f>
        <v>2</v>
      </c>
      <c r="CP6" s="19" t="s">
        <v>30</v>
      </c>
      <c r="CQ6" s="19" t="n">
        <v>0.315972222222222</v>
      </c>
      <c r="CR6" s="19" t="n">
        <v>0.317361111111111</v>
      </c>
      <c r="CS6" s="1" t="str">
        <f aca="false">"[""" &amp; CP6 &amp; """, """ &amp; IF(CQ6="","",TEXT(CQ6,"h:mm")) &amp; """, """ &amp; IF(CR6="","",TEXT(CR6,"h:mm")) &amp; """],"</f>
        <v>["菱浦", "7:35", "7:37"],</v>
      </c>
      <c r="CT6" s="18" t="n">
        <f aca="false">IF(AND(LEN(CQ6)&lt;&gt;0,LEN(CR6)&lt;&gt;0),((HOUR(CR6)*60)+MINUTE(CR6))-((HOUR(CQ6)*60)+MINUTE(CQ6)),"")</f>
        <v>2</v>
      </c>
      <c r="CU6" s="19" t="s">
        <v>30</v>
      </c>
      <c r="CV6" s="19" t="n">
        <v>0.338888888888889</v>
      </c>
      <c r="CW6" s="19" t="n">
        <v>0.340277777777778</v>
      </c>
      <c r="CX6" s="1" t="str">
        <f aca="false">"[""" &amp; CU6 &amp; """, """ &amp; IF(CV6="","",TEXT(CV6,"h:mm")) &amp; """, """ &amp; IF(CW6="","",TEXT(CW6,"h:mm")) &amp; """],"</f>
        <v>["菱浦", "8:08", "8:10"],</v>
      </c>
      <c r="CY6" s="18" t="n">
        <f aca="false">IF(AND(LEN(CV6)&lt;&gt;0,LEN(CW6)&lt;&gt;0),((HOUR(CW6)*60)+MINUTE(CW6))-((HOUR(CV6)*60)+MINUTE(CV6)),"")</f>
        <v>2</v>
      </c>
      <c r="CZ6" s="20" t="s">
        <v>29</v>
      </c>
      <c r="DA6" s="20" t="n">
        <v>0.322222222222222</v>
      </c>
      <c r="DB6" s="20" t="n">
        <v>0.350694444444444</v>
      </c>
      <c r="DC6" s="1" t="str">
        <f aca="false">"[""" &amp; CZ6 &amp; """, """ &amp; IF(DA6="","",TEXT(DA6,"h:mm")) &amp; """, """ &amp; IF(DB6="","",TEXT(DB6,"h:mm")) &amp; """],"</f>
        <v>["別府", "7:44", "8:25"],</v>
      </c>
      <c r="DD6" s="18" t="n">
        <f aca="false">IF(AND(LEN(DA6)&lt;&gt;0,LEN(DB6)&lt;&gt;0),((HOUR(DB6)*60)+MINUTE(DB6))-((HOUR(DA6)*60)+MINUTE(DA6)),"")</f>
        <v>41</v>
      </c>
      <c r="DE6" s="20" t="s">
        <v>29</v>
      </c>
      <c r="DF6" s="20" t="n">
        <v>0.322222222222222</v>
      </c>
      <c r="DG6" s="20" t="n">
        <v>0.350694444444444</v>
      </c>
      <c r="DH6" s="1" t="str">
        <f aca="false">"[""" &amp; DE6 &amp; """, """ &amp; IF(DF6="","",TEXT(DF6,"h:mm")) &amp; """, """ &amp; IF(DG6="","",TEXT(DG6,"h:mm")) &amp; """],"</f>
        <v>["別府", "7:44", "8:25"],</v>
      </c>
      <c r="DI6" s="18" t="n">
        <f aca="false">IF(AND(LEN(DF6)&lt;&gt;0,LEN(DG6)&lt;&gt;0),((HOUR(DG6)*60)+MINUTE(DG6))-((HOUR(DF6)*60)+MINUTE(DF6)),"")</f>
        <v>41</v>
      </c>
    </row>
    <row r="7" customFormat="false" ht="18" hidden="false" customHeight="false" outlineLevel="0" collapsed="false">
      <c r="A7" s="16" t="s">
        <v>30</v>
      </c>
      <c r="B7" s="17" t="n">
        <v>0.548611111111111</v>
      </c>
      <c r="C7" s="16" t="n">
        <v>0.555555555555556</v>
      </c>
      <c r="D7" s="1" t="str">
        <f aca="false">"[""" &amp; A7 &amp; """, """ &amp; IF(B7="","",TEXT(B7,"h:mm")) &amp; """, """ &amp; IF(C7="","",TEXT(C7,"h:mm")) &amp; """],"</f>
        <v>["菱浦", "13:10", "13:20"],</v>
      </c>
      <c r="E7" s="18" t="n">
        <f aca="false">IF(AND(LEN(B7)&lt;&gt;0,LEN(C7)&lt;&gt;0),((HOUR(C7)*60)+MINUTE(C7))-((HOUR(B7)*60)+MINUTE(B7)),"")</f>
        <v>10</v>
      </c>
      <c r="F7" s="16" t="s">
        <v>29</v>
      </c>
      <c r="G7" s="16" t="n">
        <v>0.420138888888889</v>
      </c>
      <c r="H7" s="16" t="n">
        <v>0.430555555555556</v>
      </c>
      <c r="I7" s="1" t="str">
        <f aca="false">"[""" &amp; F7 &amp; """, """ &amp; IF(G7="","",TEXT(G7,"h:mm")) &amp; """, """ &amp; IF(H7="","",TEXT(H7,"h:mm")) &amp; """],"</f>
        <v>["別府", "10:05", "10:20"],</v>
      </c>
      <c r="J7" s="18" t="n">
        <f aca="false">IF(AND(LEN(G7)&lt;&gt;0,LEN(H7)&lt;&gt;0),((HOUR(H7)*60)+MINUTE(H7))-((HOUR(G7)*60)+MINUTE(G7)),"")</f>
        <v>15</v>
      </c>
      <c r="K7" s="16" t="s">
        <v>30</v>
      </c>
      <c r="L7" s="17" t="n">
        <v>0.552083333333333</v>
      </c>
      <c r="M7" s="16" t="n">
        <v>0.635416666666667</v>
      </c>
      <c r="N7" s="1" t="str">
        <f aca="false">"[""" &amp; K7 &amp; """, """ &amp; IF(L7="","",TEXT(L7,"h:mm")) &amp; """, """ &amp; IF(M7="","",TEXT(M7,"h:mm")) &amp; """],"</f>
        <v>["菱浦", "13:15", "15:15"],</v>
      </c>
      <c r="O7" s="18" t="n">
        <f aca="false">IF(AND(LEN(L7)&lt;&gt;0,LEN(M7)&lt;&gt;0),((HOUR(M7)*60)+MINUTE(M7))-((HOUR(L7)*60)+MINUTE(L7)),"")</f>
        <v>120</v>
      </c>
      <c r="P7" s="16" t="s">
        <v>29</v>
      </c>
      <c r="Q7" s="16" t="n">
        <v>0.503472222222222</v>
      </c>
      <c r="R7" s="16" t="n">
        <v>0.513888888888889</v>
      </c>
      <c r="S7" s="1" t="str">
        <f aca="false">"[""" &amp; P7 &amp; """, """ &amp; IF(Q7="","",TEXT(Q7,"h:mm")) &amp; """, """ &amp; IF(R7="","",TEXT(R7,"h:mm")) &amp; """],"</f>
        <v>["別府", "12:05", "12:20"],</v>
      </c>
      <c r="T7" s="18" t="n">
        <f aca="false">IF(AND(LEN(Q7)&lt;&gt;0,LEN(R7)&lt;&gt;0),((HOUR(R7)*60)+MINUTE(R7))-((HOUR(Q7)*60)+MINUTE(Q7)),"")</f>
        <v>15</v>
      </c>
      <c r="U7" s="16" t="s">
        <v>29</v>
      </c>
      <c r="V7" s="16" t="n">
        <v>0.420138888888889</v>
      </c>
      <c r="W7" s="16" t="n">
        <v>0.430555555555556</v>
      </c>
      <c r="X7" s="1" t="str">
        <f aca="false">"[""" &amp; U7 &amp; """, """ &amp; IF(V7="","",TEXT(V7,"h:mm")) &amp; """, """ &amp; IF(W7="","",TEXT(W7,"h:mm")) &amp; """],"</f>
        <v>["別府", "10:05", "10:20"],</v>
      </c>
      <c r="Y7" s="18" t="n">
        <f aca="false">IF(AND(LEN(V7)&lt;&gt;0,LEN(W7)&lt;&gt;0),((HOUR(W7)*60)+MINUTE(W7))-((HOUR(V7)*60)+MINUTE(V7)),"")</f>
        <v>15</v>
      </c>
      <c r="Z7" s="16" t="s">
        <v>27</v>
      </c>
      <c r="AA7" s="17" t="n">
        <v>0.597222222222222</v>
      </c>
      <c r="AB7" s="17" t="n">
        <v>0.614583333333333</v>
      </c>
      <c r="AC7" s="1" t="str">
        <f aca="false">"[""" &amp; Z7 &amp; """, """ &amp; IF(AA7="","",TEXT(AA7,"h:mm")) &amp; """, """ &amp; IF(AB7="","",TEXT(AB7,"h:mm")) &amp; """],"</f>
        <v>["七類", "14:20", "14:45"],</v>
      </c>
      <c r="AD7" s="18" t="n">
        <f aca="false">IF(AND(LEN(AA7)&lt;&gt;0,LEN(AB7)&lt;&gt;0),((HOUR(AB7)*60)+MINUTE(AB7))-((HOUR(AA7)*60)+MINUTE(AA7)),"")</f>
        <v>25</v>
      </c>
      <c r="AE7" s="16" t="s">
        <v>29</v>
      </c>
      <c r="AF7" s="16" t="n">
        <v>0.503472222222222</v>
      </c>
      <c r="AG7" s="16" t="n">
        <v>0.513888888888889</v>
      </c>
      <c r="AH7" s="1" t="str">
        <f aca="false">"[""" &amp; AE7 &amp; """, """ &amp; IF(AF7="","",TEXT(AF7,"h:mm")) &amp; """, """ &amp; IF(AG7="","",TEXT(AG7,"h:mm")) &amp; """],"</f>
        <v>["別府", "12:05", "12:20"],</v>
      </c>
      <c r="AI7" s="18" t="n">
        <f aca="false">IF(AND(LEN(AF7)&lt;&gt;0,LEN(AG7)&lt;&gt;0),((HOUR(AG7)*60)+MINUTE(AG7))-((HOUR(AF7)*60)+MINUTE(AF7)),"")</f>
        <v>15</v>
      </c>
      <c r="AJ7" s="16" t="s">
        <v>29</v>
      </c>
      <c r="AK7" s="16" t="n">
        <v>0.420138888888889</v>
      </c>
      <c r="AL7" s="16" t="n">
        <v>0.430555555555556</v>
      </c>
      <c r="AM7" s="1" t="str">
        <f aca="false">"[""" &amp; AJ7 &amp; """, """ &amp; IF(AK7="","",TEXT(AK7,"h:mm")) &amp; """, """ &amp; IF(AL7="","",TEXT(AL7,"h:mm")) &amp; """],"</f>
        <v>["別府", "10:05", "10:20"],</v>
      </c>
      <c r="AN7" s="18" t="n">
        <f aca="false">IF(AND(LEN(AK7)&lt;&gt;0,LEN(AL7)&lt;&gt;0),((HOUR(AL7)*60)+MINUTE(AL7))-((HOUR(AK7)*60)+MINUTE(AK7)),"")</f>
        <v>15</v>
      </c>
      <c r="AP7" s="16" t="s">
        <v>28</v>
      </c>
      <c r="AQ7" s="17" t="n">
        <v>0.364583333333333</v>
      </c>
      <c r="AR7" s="17" t="n">
        <v>0.370833333333333</v>
      </c>
      <c r="AS7" s="1" t="str">
        <f aca="false">"[""" &amp; AP7 &amp; """, """ &amp; IF(AQ7="","",TEXT(AQ7,"h:mm")) &amp; """, """ &amp; IF(AR7="","",TEXT(AR7,"h:mm")) &amp; """],"</f>
        <v>["西郷", "8:45", "8:54"],</v>
      </c>
      <c r="AT7" s="18" t="n">
        <f aca="false">IF(AND(LEN(AQ7)&lt;&gt;0,LEN(AR7)&lt;&gt;0),((HOUR(AR7)*60)+MINUTE(AR7))-((HOUR(AQ7)*60)+MINUTE(AQ7)),"")</f>
        <v>9</v>
      </c>
      <c r="AU7" s="16" t="s">
        <v>28</v>
      </c>
      <c r="AV7" s="17" t="n">
        <v>0.364583333333333</v>
      </c>
      <c r="AW7" s="17" t="n">
        <v>0.370833333333333</v>
      </c>
      <c r="AX7" s="1" t="str">
        <f aca="false">"[""" &amp; AU7 &amp; """, """ &amp; IF(AV7="","",TEXT(AV7,"h:mm")) &amp; """, """ &amp; IF(AW7="","",TEXT(AW7,"h:mm")) &amp; """],"</f>
        <v>["西郷", "8:45", "8:54"],</v>
      </c>
      <c r="AY7" s="18" t="n">
        <f aca="false">IF(AND(LEN(AV7)&lt;&gt;0,LEN(AW7)&lt;&gt;0),((HOUR(AW7)*60)+MINUTE(AW7))-((HOUR(AV7)*60)+MINUTE(AV7)),"")</f>
        <v>9</v>
      </c>
      <c r="AZ7" s="16" t="s">
        <v>28</v>
      </c>
      <c r="BA7" s="17" t="n">
        <v>0.350694444444444</v>
      </c>
      <c r="BB7" s="17" t="n">
        <v>0.357638888888889</v>
      </c>
      <c r="BC7" s="1" t="str">
        <f aca="false">"[""" &amp; AZ7 &amp; """, """ &amp; IF(BA7="","",TEXT(BA7,"h:mm")) &amp; """, """ &amp; IF(BB7="","",TEXT(BB7,"h:mm")) &amp; """],"</f>
        <v>["西郷", "8:25", "8:35"],</v>
      </c>
      <c r="BD7" s="18" t="n">
        <f aca="false">IF(AND(LEN(BA7)&lt;&gt;0,LEN(BB7)&lt;&gt;0),((HOUR(BB7)*60)+MINUTE(BB7))-((HOUR(BA7)*60)+MINUTE(BA7)),"")</f>
        <v>10</v>
      </c>
      <c r="BE7" s="16" t="s">
        <v>28</v>
      </c>
      <c r="BF7" s="17" t="n">
        <v>0.350694444444444</v>
      </c>
      <c r="BG7" s="17" t="n">
        <v>0.357638888888889</v>
      </c>
      <c r="BH7" s="1" t="str">
        <f aca="false">"[""" &amp; BE7 &amp; """, """ &amp; IF(BF7="","",TEXT(BF7,"h:mm")) &amp; """, """ &amp; IF(BG7="","",TEXT(BG7,"h:mm")) &amp; """],"</f>
        <v>["西郷", "8:25", "8:35"],</v>
      </c>
      <c r="BI7" s="18" t="n">
        <f aca="false">IF(AND(LEN(BF7)&lt;&gt;0,LEN(BG7)&lt;&gt;0),((HOUR(BG7)*60)+MINUTE(BG7))-((HOUR(BF7)*60)+MINUTE(BF7)),"")</f>
        <v>10</v>
      </c>
      <c r="BJ7" s="16" t="s">
        <v>28</v>
      </c>
      <c r="BK7" s="17" t="n">
        <v>0.364583333333333</v>
      </c>
      <c r="BL7" s="17" t="n">
        <v>0.370833333333333</v>
      </c>
      <c r="BM7" s="1" t="str">
        <f aca="false">"[""" &amp; BJ7 &amp; """, """ &amp; IF(BK7="","",TEXT(BK7,"h:mm")) &amp; """, """ &amp; IF(BL7="","",TEXT(BL7,"h:mm")) &amp; """],"</f>
        <v>["西郷", "8:45", "8:54"],</v>
      </c>
      <c r="BN7" s="18" t="n">
        <f aca="false">IF(AND(LEN(BK7)&lt;&gt;0,LEN(BL7)&lt;&gt;0),((HOUR(BL7)*60)+MINUTE(BL7))-((HOUR(BK7)*60)+MINUTE(BK7)),"")</f>
        <v>9</v>
      </c>
      <c r="BP7" s="19" t="s">
        <v>30</v>
      </c>
      <c r="BQ7" s="19" t="n">
        <v>0.407638888888889</v>
      </c>
      <c r="BR7" s="19" t="n">
        <v>0.458333333333333</v>
      </c>
      <c r="BS7" s="1" t="str">
        <f aca="false">"[""" &amp; BP7 &amp; """, """ &amp; IF(BQ7="","",TEXT(BQ7,"h:mm")) &amp; """, """ &amp; IF(BR7="","",TEXT(BR7,"h:mm")) &amp; """],"</f>
        <v>["菱浦", "9:47", "11:00"],</v>
      </c>
      <c r="BT7" s="18" t="n">
        <f aca="false">IF(AND(LEN(BQ7)&lt;&gt;0,LEN(BR7)&lt;&gt;0),((HOUR(BR7)*60)+MINUTE(BR7))-((HOUR(BQ7)*60)+MINUTE(BQ7)),"")</f>
        <v>73</v>
      </c>
      <c r="BU7" s="19" t="s">
        <v>30</v>
      </c>
      <c r="BV7" s="19" t="n">
        <v>0.668055555555556</v>
      </c>
      <c r="BW7" s="19" t="n">
        <v>0.722222222222222</v>
      </c>
      <c r="BX7" s="1" t="str">
        <f aca="false">"[""" &amp; BU7 &amp; """, """ &amp; IF(BV7="","",TEXT(BV7,"h:mm")) &amp; """, """ &amp; IF(BW7="","",TEXT(BW7,"h:mm")) &amp; """],"</f>
        <v>["菱浦", "16:02", "17:20"],</v>
      </c>
      <c r="BY7" s="18" t="n">
        <f aca="false">IF(AND(LEN(BV7)&lt;&gt;0,LEN(BW7)&lt;&gt;0),((HOUR(BW7)*60)+MINUTE(BW7))-((HOUR(BV7)*60)+MINUTE(BV7)),"")</f>
        <v>78</v>
      </c>
      <c r="BZ7" s="19" t="s">
        <v>30</v>
      </c>
      <c r="CA7" s="19" t="n">
        <v>0.334722222222222</v>
      </c>
      <c r="CB7" s="19" t="n">
        <v>0.347222222222222</v>
      </c>
      <c r="CC7" s="1" t="str">
        <f aca="false">"[""" &amp; BZ7 &amp; """, """ &amp; IF(CA7="","",TEXT(CA7,"h:mm")) &amp; """, """ &amp; IF(CB7="","",TEXT(CB7,"h:mm")) &amp; """],"</f>
        <v>["菱浦", "8:02", "8:20"],</v>
      </c>
      <c r="CD7" s="18" t="n">
        <f aca="false">IF(AND(LEN(CA7)&lt;&gt;0,LEN(CB7)&lt;&gt;0),((HOUR(CB7)*60)+MINUTE(CB7))-((HOUR(CA7)*60)+MINUTE(CA7)),"")</f>
        <v>18</v>
      </c>
      <c r="CF7" s="20" t="s">
        <v>29</v>
      </c>
      <c r="CG7" s="20" t="n">
        <v>0.345833333333333</v>
      </c>
      <c r="CH7" s="20" t="n">
        <v>0.347222222222222</v>
      </c>
      <c r="CI7" s="1" t="str">
        <f aca="false">"[""" &amp; CF7 &amp; """, """ &amp; IF(CG7="","",TEXT(CG7,"h:mm")) &amp; """, """ &amp; IF(CH7="","",TEXT(CH7,"h:mm")) &amp; """],"</f>
        <v>["別府", "8:18", "8:20"],</v>
      </c>
      <c r="CJ7" s="18" t="n">
        <f aca="false">IF(AND(LEN(CG7)&lt;&gt;0,LEN(CH7)&lt;&gt;0),((HOUR(CH7)*60)+MINUTE(CH7))-((HOUR(CG7)*60)+MINUTE(CG7)),"")</f>
        <v>2</v>
      </c>
      <c r="CK7" s="20" t="s">
        <v>29</v>
      </c>
      <c r="CL7" s="20" t="n">
        <v>0.322222222222222</v>
      </c>
      <c r="CM7" s="20" t="n">
        <v>0.323611111111111</v>
      </c>
      <c r="CN7" s="1" t="str">
        <f aca="false">"[""" &amp; CK7 &amp; """, """ &amp; IF(CL7="","",TEXT(CL7,"h:mm")) &amp; """, """ &amp; IF(CM7="","",TEXT(CM7,"h:mm")) &amp; """],"</f>
        <v>["別府", "7:44", "7:46"],</v>
      </c>
      <c r="CO7" s="18" t="n">
        <f aca="false">IF(AND(LEN(CL7)&lt;&gt;0,LEN(CM7)&lt;&gt;0),((HOUR(CM7)*60)+MINUTE(CM7))-((HOUR(CL7)*60)+MINUTE(CL7)),"")</f>
        <v>2</v>
      </c>
      <c r="CP7" s="20" t="s">
        <v>29</v>
      </c>
      <c r="CQ7" s="20" t="n">
        <v>0.322222222222222</v>
      </c>
      <c r="CR7" s="20" t="n">
        <v>0.323611111111111</v>
      </c>
      <c r="CS7" s="1" t="str">
        <f aca="false">"[""" &amp; CP7 &amp; """, """ &amp; IF(CQ7="","",TEXT(CQ7,"h:mm")) &amp; """, """ &amp; IF(CR7="","",TEXT(CR7,"h:mm")) &amp; """],"</f>
        <v>["別府", "7:44", "7:46"],</v>
      </c>
      <c r="CT7" s="18" t="n">
        <f aca="false">IF(AND(LEN(CQ7)&lt;&gt;0,LEN(CR7)&lt;&gt;0),((HOUR(CR7)*60)+MINUTE(CR7))-((HOUR(CQ7)*60)+MINUTE(CQ7)),"")</f>
        <v>2</v>
      </c>
      <c r="CU7" s="20" t="s">
        <v>29</v>
      </c>
      <c r="CV7" s="20" t="n">
        <v>0.345833333333333</v>
      </c>
      <c r="CW7" s="20" t="n">
        <v>0.347222222222222</v>
      </c>
      <c r="CX7" s="1" t="str">
        <f aca="false">"[""" &amp; CU7 &amp; """, """ &amp; IF(CV7="","",TEXT(CV7,"h:mm")) &amp; """, """ &amp; IF(CW7="","",TEXT(CW7,"h:mm")) &amp; """],"</f>
        <v>["別府", "8:18", "8:20"],</v>
      </c>
      <c r="CY7" s="18" t="n">
        <f aca="false">IF(AND(LEN(CV7)&lt;&gt;0,LEN(CW7)&lt;&gt;0),((HOUR(CW7)*60)+MINUTE(CW7))-((HOUR(CV7)*60)+MINUTE(CV7)),"")</f>
        <v>2</v>
      </c>
      <c r="CZ7" s="19" t="s">
        <v>30</v>
      </c>
      <c r="DA7" s="19" t="n">
        <v>0.355555555555556</v>
      </c>
      <c r="DB7" s="19" t="n">
        <v>0.356944444444444</v>
      </c>
      <c r="DC7" s="1" t="str">
        <f aca="false">"[""" &amp; CZ7 &amp; """, """ &amp; IF(DA7="","",TEXT(DA7,"h:mm")) &amp; """, """ &amp; IF(DB7="","",TEXT(DB7,"h:mm")) &amp; """],"</f>
        <v>["菱浦", "8:32", "8:34"],</v>
      </c>
      <c r="DD7" s="18" t="n">
        <f aca="false">IF(AND(LEN(DA7)&lt;&gt;0,LEN(DB7)&lt;&gt;0),((HOUR(DB7)*60)+MINUTE(DB7))-((HOUR(DA7)*60)+MINUTE(DA7)),"")</f>
        <v>2</v>
      </c>
      <c r="DE7" s="19" t="s">
        <v>30</v>
      </c>
      <c r="DF7" s="19" t="n">
        <v>0.355555555555556</v>
      </c>
      <c r="DG7" s="19" t="n">
        <v>0.356944444444444</v>
      </c>
      <c r="DH7" s="1" t="str">
        <f aca="false">"[""" &amp; DE7 &amp; """, """ &amp; IF(DF7="","",TEXT(DF7,"h:mm")) &amp; """, """ &amp; IF(DG7="","",TEXT(DG7,"h:mm")) &amp; """],"</f>
        <v>["菱浦", "8:32", "8:34"],</v>
      </c>
      <c r="DI7" s="18" t="n">
        <f aca="false">IF(AND(LEN(DF7)&lt;&gt;0,LEN(DG7)&lt;&gt;0),((HOUR(DG7)*60)+MINUTE(DG7))-((HOUR(DF7)*60)+MINUTE(DF7)),"")</f>
        <v>2</v>
      </c>
    </row>
    <row r="8" customFormat="false" ht="18" hidden="false" customHeight="false" outlineLevel="0" collapsed="false">
      <c r="A8" s="16" t="s">
        <v>29</v>
      </c>
      <c r="B8" s="16" t="n">
        <v>0.565972222222222</v>
      </c>
      <c r="C8" s="17" t="n">
        <v>0.576388888888889</v>
      </c>
      <c r="D8" s="1" t="str">
        <f aca="false">"[""" &amp; A8 &amp; """, """ &amp; IF(B8="","",TEXT(B8,"h:mm")) &amp; """, """ &amp; IF(C8="","",TEXT(C8,"h:mm")) &amp; """],"</f>
        <v>["別府", "13:35", "13:50"],</v>
      </c>
      <c r="E8" s="18" t="n">
        <f aca="false">IF(AND(LEN(B8)&lt;&gt;0,LEN(C8)&lt;&gt;0),((HOUR(C8)*60)+MINUTE(C8))-((HOUR(B8)*60)+MINUTE(B8)),"")</f>
        <v>15</v>
      </c>
      <c r="F8" s="16" t="s">
        <v>31</v>
      </c>
      <c r="G8" s="16" t="n">
        <v>0.451388888888889</v>
      </c>
      <c r="H8" s="17" t="n">
        <v>0.454861111111111</v>
      </c>
      <c r="I8" s="1" t="str">
        <f aca="false">"[""" &amp; F8 &amp; """, """ &amp; IF(G8="","",TEXT(G8,"h:mm")) &amp; """, """ &amp; IF(H8="","",TEXT(H8,"h:mm")) &amp; """],"</f>
        <v>["来居", "10:50", "10:55"],</v>
      </c>
      <c r="J8" s="18" t="n">
        <f aca="false">IF(AND(LEN(G8)&lt;&gt;0,LEN(H8)&lt;&gt;0),((HOUR(H8)*60)+MINUTE(H8))-((HOUR(G8)*60)+MINUTE(G8)),"")</f>
        <v>5</v>
      </c>
      <c r="K8" s="16" t="s">
        <v>29</v>
      </c>
      <c r="L8" s="16" t="n">
        <v>0.645833333333333</v>
      </c>
      <c r="M8" s="17" t="n">
        <v>0.65625</v>
      </c>
      <c r="N8" s="1" t="str">
        <f aca="false">"[""" &amp; K8 &amp; """, """ &amp; IF(L8="","",TEXT(L8,"h:mm")) &amp; """, """ &amp; IF(M8="","",TEXT(M8,"h:mm")) &amp; """],"</f>
        <v>["別府", "15:30", "15:45"],</v>
      </c>
      <c r="O8" s="18" t="n">
        <f aca="false">IF(AND(LEN(L8)&lt;&gt;0,LEN(M8)&lt;&gt;0),((HOUR(M8)*60)+MINUTE(M8))-((HOUR(L8)*60)+MINUTE(L8)),"")</f>
        <v>15</v>
      </c>
      <c r="P8" s="16" t="s">
        <v>30</v>
      </c>
      <c r="Q8" s="16" t="n">
        <v>0.527777777777778</v>
      </c>
      <c r="R8" s="17" t="n">
        <v>0.534722222222222</v>
      </c>
      <c r="S8" s="1" t="str">
        <f aca="false">"[""" &amp; P8 &amp; """, """ &amp; IF(Q8="","",TEXT(Q8,"h:mm")) &amp; """, """ &amp; IF(R8="","",TEXT(R8,"h:mm")) &amp; """],"</f>
        <v>["菱浦", "12:40", "12:50"],</v>
      </c>
      <c r="T8" s="18" t="n">
        <f aca="false">IF(AND(LEN(Q8)&lt;&gt;0,LEN(R8)&lt;&gt;0),((HOUR(R8)*60)+MINUTE(R8))-((HOUR(Q8)*60)+MINUTE(Q8)),"")</f>
        <v>10</v>
      </c>
      <c r="U8" s="16" t="s">
        <v>31</v>
      </c>
      <c r="V8" s="16" t="n">
        <v>0.451388888888889</v>
      </c>
      <c r="W8" s="17" t="n">
        <v>0.454861111111111</v>
      </c>
      <c r="X8" s="1" t="str">
        <f aca="false">"[""" &amp; U8 &amp; """, """ &amp; IF(V8="","",TEXT(V8,"h:mm")) &amp; """, """ &amp; IF(W8="","",TEXT(W8,"h:mm")) &amp; """],"</f>
        <v>["来居", "10:50", "10:55"],</v>
      </c>
      <c r="Y8" s="18" t="n">
        <f aca="false">IF(AND(LEN(V8)&lt;&gt;0,LEN(W8)&lt;&gt;0),((HOUR(W8)*60)+MINUTE(W8))-((HOUR(V8)*60)+MINUTE(V8)),"")</f>
        <v>5</v>
      </c>
      <c r="Z8" s="16" t="s">
        <v>28</v>
      </c>
      <c r="AA8" s="17" t="n">
        <v>0.715277777777778</v>
      </c>
      <c r="AB8" s="17" t="n">
        <v>0.732638888888889</v>
      </c>
      <c r="AC8" s="1" t="str">
        <f aca="false">"[""" &amp; Z8 &amp; """, """ &amp; IF(AA8="","",TEXT(AA8,"h:mm")) &amp; """, """ &amp; IF(AB8="","",TEXT(AB8,"h:mm")) &amp; """],"</f>
        <v>["西郷", "17:10", "17:35"],</v>
      </c>
      <c r="AD8" s="18" t="n">
        <f aca="false">IF(AND(LEN(AA8)&lt;&gt;0,LEN(AB8)&lt;&gt;0),((HOUR(AB8)*60)+MINUTE(AB8))-((HOUR(AA8)*60)+MINUTE(AA8)),"")</f>
        <v>25</v>
      </c>
      <c r="AE8" s="16" t="s">
        <v>30</v>
      </c>
      <c r="AF8" s="16" t="n">
        <v>0.527777777777778</v>
      </c>
      <c r="AG8" s="17" t="n">
        <v>0.534722222222222</v>
      </c>
      <c r="AH8" s="1" t="str">
        <f aca="false">"[""" &amp; AE8 &amp; """, """ &amp; IF(AF8="","",TEXT(AF8,"h:mm")) &amp; """, """ &amp; IF(AG8="","",TEXT(AG8,"h:mm")) &amp; """],"</f>
        <v>["菱浦", "12:40", "12:50"],</v>
      </c>
      <c r="AI8" s="18" t="n">
        <f aca="false">IF(AND(LEN(AF8)&lt;&gt;0,LEN(AG8)&lt;&gt;0),((HOUR(AG8)*60)+MINUTE(AG8))-((HOUR(AF8)*60)+MINUTE(AF8)),"")</f>
        <v>10</v>
      </c>
      <c r="AJ8" s="16" t="s">
        <v>31</v>
      </c>
      <c r="AK8" s="16" t="n">
        <v>0.451388888888889</v>
      </c>
      <c r="AL8" s="17" t="n">
        <v>0.454861111111111</v>
      </c>
      <c r="AM8" s="1" t="str">
        <f aca="false">"[""" &amp; AJ8 &amp; """, """ &amp; IF(AK8="","",TEXT(AK8,"h:mm")) &amp; """, """ &amp; IF(AL8="","",TEXT(AL8,"h:mm")) &amp; """],"</f>
        <v>["来居", "10:50", "10:55"],</v>
      </c>
      <c r="AN8" s="18" t="n">
        <f aca="false">IF(AND(LEN(AK8)&lt;&gt;0,LEN(AL8)&lt;&gt;0),((HOUR(AL8)*60)+MINUTE(AL8))-((HOUR(AK8)*60)+MINUTE(AK8)),"")</f>
        <v>5</v>
      </c>
      <c r="AP8" s="16" t="s">
        <v>32</v>
      </c>
      <c r="AQ8" s="17" t="n">
        <v>0.428472222222222</v>
      </c>
      <c r="AR8" s="17" t="n">
        <v>0.673611111111111</v>
      </c>
      <c r="AS8" s="1" t="str">
        <f aca="false">"[""" &amp; AP8 &amp; """, """ &amp; IF(AQ8="","",TEXT(AQ8,"h:mm")) &amp; """, """ &amp; IF(AR8="","",TEXT(AR8,"h:mm")) &amp; """],"</f>
        <v>["境港", "10:17", "16:10"],</v>
      </c>
      <c r="AT8" s="18" t="n">
        <f aca="false">IF(AND(LEN(AQ8)&lt;&gt;0,LEN(AR8)&lt;&gt;0),((HOUR(AR8)*60)+MINUTE(AR8))-((HOUR(AQ8)*60)+MINUTE(AQ8)),"")</f>
        <v>353</v>
      </c>
      <c r="AU8" s="16" t="s">
        <v>27</v>
      </c>
      <c r="AV8" s="17" t="n">
        <v>0.41875</v>
      </c>
      <c r="AW8" s="17" t="n">
        <v>0.701388888888889</v>
      </c>
      <c r="AX8" s="1" t="str">
        <f aca="false">"[""" &amp; AU8 &amp; """, """ &amp; IF(AV8="","",TEXT(AV8,"h:mm")) &amp; """, """ &amp; IF(AW8="","",TEXT(AW8,"h:mm")) &amp; """],"</f>
        <v>["七類", "10:03", "16:50"],</v>
      </c>
      <c r="AY8" s="18" t="n">
        <f aca="false">IF(AND(LEN(AV8)&lt;&gt;0,LEN(AW8)&lt;&gt;0),((HOUR(AW8)*60)+MINUTE(AW8))-((HOUR(AV8)*60)+MINUTE(AV8)),"")</f>
        <v>407</v>
      </c>
      <c r="AZ8" s="16" t="s">
        <v>32</v>
      </c>
      <c r="BA8" s="17" t="n">
        <v>0.415277777777778</v>
      </c>
      <c r="BB8" s="17" t="n">
        <v>0.5</v>
      </c>
      <c r="BC8" s="1" t="str">
        <f aca="false">"[""" &amp; AZ8 &amp; """, """ &amp; IF(BA8="","",TEXT(BA8,"h:mm")) &amp; """, """ &amp; IF(BB8="","",TEXT(BB8,"h:mm")) &amp; """],"</f>
        <v>["境港", "9:58", "12:00"],</v>
      </c>
      <c r="BD8" s="18" t="n">
        <f aca="false">IF(AND(LEN(BA8)&lt;&gt;0,LEN(BB8)&lt;&gt;0),((HOUR(BB8)*60)+MINUTE(BB8))-((HOUR(BA8)*60)+MINUTE(BA8)),"")</f>
        <v>122</v>
      </c>
      <c r="BE8" s="16" t="s">
        <v>27</v>
      </c>
      <c r="BF8" s="17" t="n">
        <v>0.405555555555556</v>
      </c>
      <c r="BG8" s="17" t="n">
        <v>0.65625</v>
      </c>
      <c r="BH8" s="1" t="str">
        <f aca="false">"[""" &amp; BE8 &amp; """, """ &amp; IF(BF8="","",TEXT(BF8,"h:mm")) &amp; """, """ &amp; IF(BG8="","",TEXT(BG8,"h:mm")) &amp; """],"</f>
        <v>["七類", "9:44", "15:45"],</v>
      </c>
      <c r="BI8" s="18" t="n">
        <f aca="false">IF(AND(LEN(BF8)&lt;&gt;0,LEN(BG8)&lt;&gt;0),((HOUR(BG8)*60)+MINUTE(BG8))-((HOUR(BF8)*60)+MINUTE(BF8)),"")</f>
        <v>361</v>
      </c>
      <c r="BJ8" s="16" t="s">
        <v>32</v>
      </c>
      <c r="BK8" s="17" t="n">
        <v>0.428472222222222</v>
      </c>
      <c r="BL8" s="17" t="n">
        <v>0.631944444444444</v>
      </c>
      <c r="BM8" s="1" t="str">
        <f aca="false">"[""" &amp; BJ8 &amp; """, """ &amp; IF(BK8="","",TEXT(BK8,"h:mm")) &amp; """, """ &amp; IF(BL8="","",TEXT(BL8,"h:mm")) &amp; """],"</f>
        <v>["境港", "10:17", "15:10"],</v>
      </c>
      <c r="BN8" s="18" t="n">
        <f aca="false">IF(AND(LEN(BK8)&lt;&gt;0,LEN(BL8)&lt;&gt;0),((HOUR(BL8)*60)+MINUTE(BL8))-((HOUR(BK8)*60)+MINUTE(BK8)),"")</f>
        <v>293</v>
      </c>
      <c r="BP8" s="20" t="s">
        <v>29</v>
      </c>
      <c r="BQ8" s="20" t="n">
        <v>0.46875</v>
      </c>
      <c r="BR8" s="20" t="n">
        <v>0.479166666666667</v>
      </c>
      <c r="BS8" s="1" t="str">
        <f aca="false">"[""" &amp; BP8 &amp; """, """ &amp; IF(BQ8="","",TEXT(BQ8,"h:mm")) &amp; """, """ &amp; IF(BR8="","",TEXT(BR8,"h:mm")) &amp; """],"</f>
        <v>["別府", "11:15", "11:30"],</v>
      </c>
      <c r="BT8" s="18" t="n">
        <f aca="false">IF(AND(LEN(BQ8)&lt;&gt;0,LEN(BR8)&lt;&gt;0),((HOUR(BR8)*60)+MINUTE(BR8))-((HOUR(BQ8)*60)+MINUTE(BQ8)),"")</f>
        <v>15</v>
      </c>
      <c r="BU8" s="20" t="s">
        <v>29</v>
      </c>
      <c r="BV8" s="20" t="n">
        <v>0.732638888888889</v>
      </c>
      <c r="BW8" s="20" t="n">
        <v>0.736111111111111</v>
      </c>
      <c r="BX8" s="1" t="str">
        <f aca="false">"[""" &amp; BU8 &amp; """, """ &amp; IF(BV8="","",TEXT(BV8,"h:mm")) &amp; """, """ &amp; IF(BW8="","",TEXT(BW8,"h:mm")) &amp; """],"</f>
        <v>["別府", "17:35", "17:40"],</v>
      </c>
      <c r="BY8" s="18" t="n">
        <f aca="false">IF(AND(LEN(BV8)&lt;&gt;0,LEN(BW8)&lt;&gt;0),((HOUR(BW8)*60)+MINUTE(BW8))-((HOUR(BV8)*60)+MINUTE(BV8)),"")</f>
        <v>5</v>
      </c>
      <c r="BZ8" s="20" t="s">
        <v>29</v>
      </c>
      <c r="CA8" s="20" t="n">
        <v>0.357638888888889</v>
      </c>
      <c r="CB8" s="20" t="n">
        <v>0.361111111111111</v>
      </c>
      <c r="CC8" s="1" t="str">
        <f aca="false">"[""" &amp; BZ8 &amp; """, """ &amp; IF(CA8="","",TEXT(CA8,"h:mm")) &amp; """, """ &amp; IF(CB8="","",TEXT(CB8,"h:mm")) &amp; """],"</f>
        <v>["別府", "8:35", "8:40"],</v>
      </c>
      <c r="CD8" s="18" t="n">
        <f aca="false">IF(AND(LEN(CA8)&lt;&gt;0,LEN(CB8)&lt;&gt;0),((HOUR(CB8)*60)+MINUTE(CB8))-((HOUR(CA8)*60)+MINUTE(CA8)),"")</f>
        <v>5</v>
      </c>
      <c r="CF8" s="21" t="s">
        <v>31</v>
      </c>
      <c r="CG8" s="22" t="n">
        <v>0.360416666666667</v>
      </c>
      <c r="CH8" s="22" t="n">
        <v>0.361805555555556</v>
      </c>
      <c r="CI8" s="1" t="str">
        <f aca="false">"[""" &amp; CF8 &amp; """, """ &amp; IF(CG8="","",TEXT(CG8,"h:mm")) &amp; """, """ &amp; IF(CH8="","",TEXT(CH8,"h:mm")) &amp; """],"</f>
        <v>["来居", "8:39", "8:41"],</v>
      </c>
      <c r="CJ8" s="18" t="n">
        <f aca="false">IF(AND(LEN(CG8)&lt;&gt;0,LEN(CH8)&lt;&gt;0),((HOUR(CH8)*60)+MINUTE(CH8))-((HOUR(CG8)*60)+MINUTE(CG8)),"")</f>
        <v>2</v>
      </c>
      <c r="CK8" s="21" t="s">
        <v>31</v>
      </c>
      <c r="CL8" s="22" t="n">
        <v>0.335416666666667</v>
      </c>
      <c r="CM8" s="22" t="n">
        <v>0.336805555555556</v>
      </c>
      <c r="CN8" s="1" t="str">
        <f aca="false">"[""" &amp; CK8 &amp; """, """ &amp; IF(CL8="","",TEXT(CL8,"h:mm")) &amp; """, """ &amp; IF(CM8="","",TEXT(CM8,"h:mm")) &amp; """],"</f>
        <v>["来居", "8:03", "8:05"],</v>
      </c>
      <c r="CO8" s="18" t="n">
        <f aca="false">IF(AND(LEN(CL8)&lt;&gt;0,LEN(CM8)&lt;&gt;0),((HOUR(CM8)*60)+MINUTE(CM8))-((HOUR(CL8)*60)+MINUTE(CL8)),"")</f>
        <v>2</v>
      </c>
      <c r="CP8" s="21" t="s">
        <v>31</v>
      </c>
      <c r="CQ8" s="22" t="n">
        <v>0.335416666666667</v>
      </c>
      <c r="CR8" s="22" t="n">
        <v>0.336805555555556</v>
      </c>
      <c r="CS8" s="1" t="str">
        <f aca="false">"[""" &amp; CP8 &amp; """, """ &amp; IF(CQ8="","",TEXT(CQ8,"h:mm")) &amp; """, """ &amp; IF(CR8="","",TEXT(CR8,"h:mm")) &amp; """],"</f>
        <v>["来居", "8:03", "8:05"],</v>
      </c>
      <c r="CT8" s="18" t="n">
        <f aca="false">IF(AND(LEN(CQ8)&lt;&gt;0,LEN(CR8)&lt;&gt;0),((HOUR(CR8)*60)+MINUTE(CR8))-((HOUR(CQ8)*60)+MINUTE(CQ8)),"")</f>
        <v>2</v>
      </c>
      <c r="CU8" s="19" t="s">
        <v>30</v>
      </c>
      <c r="CV8" s="19" t="n">
        <v>0.352777777777778</v>
      </c>
      <c r="CW8" s="19" t="n">
        <v>0.377083333333333</v>
      </c>
      <c r="CX8" s="1" t="str">
        <f aca="false">"[""" &amp; CU8 &amp; """, """ &amp; IF(CV8="","",TEXT(CV8,"h:mm")) &amp; """, """ &amp; IF(CW8="","",TEXT(CW8,"h:mm")) &amp; """],"</f>
        <v>["菱浦", "8:28", "9:03"],</v>
      </c>
      <c r="CY8" s="18" t="n">
        <f aca="false">IF(AND(LEN(CV8)&lt;&gt;0,LEN(CW8)&lt;&gt;0),((HOUR(CW8)*60)+MINUTE(CW8))-((HOUR(CV8)*60)+MINUTE(CV8)),"")</f>
        <v>35</v>
      </c>
      <c r="CZ8" s="20" t="s">
        <v>29</v>
      </c>
      <c r="DA8" s="20" t="n">
        <v>0.361805555555556</v>
      </c>
      <c r="DB8" s="20" t="n">
        <v>0.386805555555556</v>
      </c>
      <c r="DC8" s="1" t="str">
        <f aca="false">"[""" &amp; CZ8 &amp; """, """ &amp; IF(DA8="","",TEXT(DA8,"h:mm")) &amp; """, """ &amp; IF(DB8="","",TEXT(DB8,"h:mm")) &amp; """],"</f>
        <v>["別府", "8:41", "9:17"],</v>
      </c>
      <c r="DD8" s="18" t="n">
        <f aca="false">IF(AND(LEN(DA8)&lt;&gt;0,LEN(DB8)&lt;&gt;0),((HOUR(DB8)*60)+MINUTE(DB8))-((HOUR(DA8)*60)+MINUTE(DA8)),"")</f>
        <v>36</v>
      </c>
      <c r="DE8" s="20" t="s">
        <v>29</v>
      </c>
      <c r="DF8" s="20" t="n">
        <v>0.361805555555556</v>
      </c>
      <c r="DG8" s="20" t="n">
        <v>0.386805555555556</v>
      </c>
      <c r="DH8" s="1" t="str">
        <f aca="false">"[""" &amp; DE8 &amp; """, """ &amp; IF(DF8="","",TEXT(DF8,"h:mm")) &amp; """, """ &amp; IF(DG8="","",TEXT(DG8,"h:mm")) &amp; """],"</f>
        <v>["別府", "8:41", "9:17"],</v>
      </c>
      <c r="DI8" s="18" t="n">
        <f aca="false">IF(AND(LEN(DF8)&lt;&gt;0,LEN(DG8)&lt;&gt;0),((HOUR(DG8)*60)+MINUTE(DG8))-((HOUR(DF8)*60)+MINUTE(DF8)),"")</f>
        <v>36</v>
      </c>
    </row>
    <row r="9" customFormat="false" ht="18" hidden="false" customHeight="false" outlineLevel="0" collapsed="false">
      <c r="A9" s="16" t="s">
        <v>28</v>
      </c>
      <c r="B9" s="17" t="n">
        <v>0.625</v>
      </c>
      <c r="C9" s="17" t="n">
        <v>0.652777777777778</v>
      </c>
      <c r="D9" s="1" t="str">
        <f aca="false">"[""" &amp; A9 &amp; """, """ &amp; IF(B9="","",TEXT(B9,"h:mm")) &amp; """, """ &amp; IF(C9="","",TEXT(C9,"h:mm")) &amp; """],"</f>
        <v>["西郷", "15:00", "15:40"],</v>
      </c>
      <c r="E9" s="18" t="n">
        <f aca="false">IF(AND(LEN(B9)&lt;&gt;0,LEN(C9)&lt;&gt;0),((HOUR(C9)*60)+MINUTE(C9))-((HOUR(B9)*60)+MINUTE(B9)),"")</f>
        <v>40</v>
      </c>
      <c r="F9" s="16" t="s">
        <v>32</v>
      </c>
      <c r="G9" s="17" t="n">
        <v>0.555555555555556</v>
      </c>
      <c r="H9" s="17" t="n">
        <v>0.590277777777778</v>
      </c>
      <c r="I9" s="1" t="str">
        <f aca="false">"[""" &amp; F9 &amp; """, """ &amp; IF(G9="","",TEXT(G9,"h:mm")) &amp; """, """ &amp; IF(H9="","",TEXT(H9,"h:mm")) &amp; """],"</f>
        <v>["境港", "13:20", "14:10"],</v>
      </c>
      <c r="J9" s="18" t="n">
        <f aca="false">IF(AND(LEN(G9)&lt;&gt;0,LEN(H9)&lt;&gt;0),((HOUR(H9)*60)+MINUTE(H9))-((HOUR(G9)*60)+MINUTE(G9)),"")</f>
        <v>50</v>
      </c>
      <c r="K9" s="16" t="s">
        <v>27</v>
      </c>
      <c r="L9" s="17" t="n">
        <v>0.746527777777778</v>
      </c>
      <c r="M9" s="16"/>
      <c r="N9" s="1" t="str">
        <f aca="false">"[""" &amp; K9 &amp; """, """ &amp; IF(L9="","",TEXT(L9,"h:mm")) &amp; """, """ &amp; IF(M9="","",TEXT(M9,"h:mm")) &amp; """]"</f>
        <v>["七類", "17:55", ""]</v>
      </c>
      <c r="O9" s="18" t="str">
        <f aca="false">IF(AND(LEN(L9)&lt;&gt;0,LEN(M9)&lt;&gt;0),((HOUR(M9)*60)+MINUTE(M9))-((HOUR(L9)*60)+MINUTE(L9)),"")</f>
        <v/>
      </c>
      <c r="P9" s="16" t="s">
        <v>28</v>
      </c>
      <c r="Q9" s="17" t="n">
        <v>0.583333333333333</v>
      </c>
      <c r="R9" s="17" t="n">
        <v>0.631944444444444</v>
      </c>
      <c r="S9" s="1" t="str">
        <f aca="false">"[""" &amp; P9 &amp; """, """ &amp; IF(Q9="","",TEXT(Q9,"h:mm")) &amp; """, """ &amp; IF(R9="","",TEXT(R9,"h:mm")) &amp; """],"</f>
        <v>["西郷", "14:00", "15:10"],</v>
      </c>
      <c r="T9" s="18" t="n">
        <f aca="false">IF(AND(LEN(Q9)&lt;&gt;0,LEN(R9)&lt;&gt;0),((HOUR(R9)*60)+MINUTE(R9))-((HOUR(Q9)*60)+MINUTE(Q9)),"")</f>
        <v>70</v>
      </c>
      <c r="U9" s="16" t="s">
        <v>32</v>
      </c>
      <c r="V9" s="17" t="n">
        <v>0.555555555555556</v>
      </c>
      <c r="W9" s="17" t="n">
        <v>0.600694444444444</v>
      </c>
      <c r="X9" s="1" t="str">
        <f aca="false">"[""" &amp; U9 &amp; """, """ &amp; IF(V9="","",TEXT(V9,"h:mm")) &amp; """, """ &amp; IF(W9="","",TEXT(W9,"h:mm")) &amp; """],"</f>
        <v>["境港", "13:20", "14:25"],</v>
      </c>
      <c r="Y9" s="18" t="n">
        <f aca="false">IF(AND(LEN(V9)&lt;&gt;0,LEN(W9)&lt;&gt;0),((HOUR(W9)*60)+MINUTE(W9))-((HOUR(V9)*60)+MINUTE(V9)),"")</f>
        <v>65</v>
      </c>
      <c r="Z9" s="16" t="s">
        <v>27</v>
      </c>
      <c r="AA9" s="17" t="n">
        <v>0.833333333333333</v>
      </c>
      <c r="AB9" s="16"/>
      <c r="AC9" s="1" t="str">
        <f aca="false">"[""" &amp; Z9 &amp; """, """ &amp; IF(AA9="","",TEXT(AA9,"h:mm")) &amp; """, """ &amp; IF(AB9="","",TEXT(AB9,"h:mm")) &amp; """]"</f>
        <v>["七類", "20:00", ""]</v>
      </c>
      <c r="AD9" s="18" t="str">
        <f aca="false">IF(AND(LEN(AA9)&lt;&gt;0,LEN(AB9)&lt;&gt;0),((HOUR(AB9)*60)+MINUTE(AB9))-((HOUR(AA9)*60)+MINUTE(AA9)),"")</f>
        <v/>
      </c>
      <c r="AE9" s="16" t="s">
        <v>28</v>
      </c>
      <c r="AF9" s="17" t="n">
        <v>0.583333333333333</v>
      </c>
      <c r="AG9" s="17" t="n">
        <v>0.597222222222222</v>
      </c>
      <c r="AH9" s="1" t="str">
        <f aca="false">"[""" &amp; AE9 &amp; """, """ &amp; IF(AF9="","",TEXT(AF9,"h:mm")) &amp; """, """ &amp; IF(AG9="","",TEXT(AG9,"h:mm")) &amp; """],"</f>
        <v>["西郷", "14:00", "14:20"],</v>
      </c>
      <c r="AI9" s="18" t="n">
        <f aca="false">IF(AND(LEN(AF9)&lt;&gt;0,LEN(AG9)&lt;&gt;0),((HOUR(AG9)*60)+MINUTE(AG9))-((HOUR(AF9)*60)+MINUTE(AF9)),"")</f>
        <v>20</v>
      </c>
      <c r="AJ9" s="16" t="s">
        <v>32</v>
      </c>
      <c r="AK9" s="17" t="n">
        <v>0.555555555555556</v>
      </c>
      <c r="AL9" s="17" t="n">
        <v>0.600694444444444</v>
      </c>
      <c r="AM9" s="1" t="str">
        <f aca="false">"[""" &amp; AJ9 &amp; """, """ &amp; IF(AK9="","",TEXT(AK9,"h:mm")) &amp; """, """ &amp; IF(AL9="","",TEXT(AL9,"h:mm")) &amp; """],"</f>
        <v>["境港", "13:20", "14:25"],</v>
      </c>
      <c r="AN9" s="18" t="n">
        <f aca="false">IF(AND(LEN(AK9)&lt;&gt;0,LEN(AL9)&lt;&gt;0),((HOUR(AL9)*60)+MINUTE(AL9))-((HOUR(AK9)*60)+MINUTE(AK9)),"")</f>
        <v>65</v>
      </c>
      <c r="AP9" s="16" t="s">
        <v>28</v>
      </c>
      <c r="AQ9" s="17" t="n">
        <v>0.73125</v>
      </c>
      <c r="AR9" s="17" t="n">
        <v>0.735416666666667</v>
      </c>
      <c r="AS9" s="1" t="str">
        <f aca="false">"[""" &amp; AP9 &amp; """, """ &amp; IF(AQ9="","",TEXT(AQ9,"h:mm")) &amp; """, """ &amp; IF(AR9="","",TEXT(AR9,"h:mm")) &amp; """],"</f>
        <v>["西郷", "17:33", "17:39"],</v>
      </c>
      <c r="AT9" s="18" t="n">
        <f aca="false">IF(AND(LEN(AQ9)&lt;&gt;0,LEN(AR9)&lt;&gt;0),((HOUR(AR9)*60)+MINUTE(AR9))-((HOUR(AQ9)*60)+MINUTE(AQ9)),"")</f>
        <v>6</v>
      </c>
      <c r="AU9" s="16" t="s">
        <v>28</v>
      </c>
      <c r="AV9" s="17" t="n">
        <v>0.749305555555556</v>
      </c>
      <c r="AW9" s="17" t="n">
        <v>0.753472222222222</v>
      </c>
      <c r="AX9" s="1" t="str">
        <f aca="false">"[""" &amp; AU9 &amp; """, """ &amp; IF(AV9="","",TEXT(AV9,"h:mm")) &amp; """, """ &amp; IF(AW9="","",TEXT(AW9,"h:mm")) &amp; """],"</f>
        <v>["西郷", "17:59", "18:05"],</v>
      </c>
      <c r="AY9" s="18" t="n">
        <f aca="false">IF(AND(LEN(AV9)&lt;&gt;0,LEN(AW9)&lt;&gt;0),((HOUR(AW9)*60)+MINUTE(AW9))-((HOUR(AV9)*60)+MINUTE(AV9)),"")</f>
        <v>6</v>
      </c>
      <c r="AZ9" s="16" t="s">
        <v>28</v>
      </c>
      <c r="BA9" s="17" t="n">
        <v>0.557638888888889</v>
      </c>
      <c r="BB9" s="17" t="n">
        <v>0.5625</v>
      </c>
      <c r="BC9" s="1" t="str">
        <f aca="false">"[""" &amp; AZ9 &amp; """, """ &amp; IF(BA9="","",TEXT(BA9,"h:mm")) &amp; """, """ &amp; IF(BB9="","",TEXT(BB9,"h:mm")) &amp; """],"</f>
        <v>["西郷", "13:23", "13:30"],</v>
      </c>
      <c r="BD9" s="18" t="n">
        <f aca="false">IF(AND(LEN(BA9)&lt;&gt;0,LEN(BB9)&lt;&gt;0),((HOUR(BB9)*60)+MINUTE(BB9))-((HOUR(BA9)*60)+MINUTE(BA9)),"")</f>
        <v>7</v>
      </c>
      <c r="BE9" s="16" t="s">
        <v>28</v>
      </c>
      <c r="BF9" s="17" t="n">
        <v>0.704166666666667</v>
      </c>
      <c r="BG9" s="17" t="n">
        <v>0.708333333333333</v>
      </c>
      <c r="BH9" s="1" t="str">
        <f aca="false">"[""" &amp; BE9 &amp; """, """ &amp; IF(BF9="","",TEXT(BF9,"h:mm")) &amp; """, """ &amp; IF(BG9="","",TEXT(BG9,"h:mm")) &amp; """],"</f>
        <v>["西郷", "16:54", "17:00"],</v>
      </c>
      <c r="BI9" s="18" t="n">
        <f aca="false">IF(AND(LEN(BF9)&lt;&gt;0,LEN(BG9)&lt;&gt;0),((HOUR(BG9)*60)+MINUTE(BG9))-((HOUR(BF9)*60)+MINUTE(BF9)),"")</f>
        <v>6</v>
      </c>
      <c r="BJ9" s="16" t="s">
        <v>28</v>
      </c>
      <c r="BK9" s="17" t="n">
        <v>0.689583333333333</v>
      </c>
      <c r="BL9" s="17" t="n">
        <v>0.69375</v>
      </c>
      <c r="BM9" s="1" t="str">
        <f aca="false">"[""" &amp; BJ9 &amp; """, """ &amp; IF(BK9="","",TEXT(BK9,"h:mm")) &amp; """, """ &amp; IF(BL9="","",TEXT(BL9,"h:mm")) &amp; """],"</f>
        <v>["西郷", "16:33", "16:39"],</v>
      </c>
      <c r="BN9" s="18" t="n">
        <f aca="false">IF(AND(LEN(BK9)&lt;&gt;0,LEN(BL9)&lt;&gt;0),((HOUR(BL9)*60)+MINUTE(BL9))-((HOUR(BK9)*60)+MINUTE(BK9)),"")</f>
        <v>6</v>
      </c>
      <c r="BP9" s="19" t="s">
        <v>30</v>
      </c>
      <c r="BQ9" s="19" t="n">
        <v>0.4875</v>
      </c>
      <c r="BR9" s="19" t="n">
        <v>0.645833333333333</v>
      </c>
      <c r="BS9" s="1" t="str">
        <f aca="false">"[""" &amp; BP9 &amp; """, """ &amp; IF(BQ9="","",TEXT(BQ9,"h:mm")) &amp; """, """ &amp; IF(BR9="","",TEXT(BR9,"h:mm")) &amp; """],"</f>
        <v>["菱浦", "11:42", "15:30"],</v>
      </c>
      <c r="BT9" s="18" t="n">
        <f aca="false">IF(AND(LEN(BQ9)&lt;&gt;0,LEN(BR9)&lt;&gt;0),((HOUR(BR9)*60)+MINUTE(BR9))-((HOUR(BQ9)*60)+MINUTE(BQ9)),"")</f>
        <v>228</v>
      </c>
      <c r="BU9" s="19" t="s">
        <v>30</v>
      </c>
      <c r="BV9" s="19" t="n">
        <v>0.744444444444445</v>
      </c>
      <c r="BX9" s="1" t="str">
        <f aca="false">"[""" &amp; BU9 &amp; """, """ &amp; IF(BV9="","",TEXT(BV9,"h:mm")) &amp; """, """ &amp; IF(BW9="","",TEXT(BW9,"h:mm")) &amp; """]"</f>
        <v>["菱浦", "17:52", ""]</v>
      </c>
      <c r="BY9" s="18" t="str">
        <f aca="false">IF(AND(LEN(BV9)&lt;&gt;0,LEN(BW9)&lt;&gt;0),((HOUR(BW9)*60)+MINUTE(BW9))-((HOUR(BV9)*60)+MINUTE(BV9)),"")</f>
        <v/>
      </c>
      <c r="BZ9" s="19" t="s">
        <v>30</v>
      </c>
      <c r="CA9" s="19" t="n">
        <v>0.369444444444444</v>
      </c>
      <c r="CB9" s="19" t="n">
        <v>0.375</v>
      </c>
      <c r="CC9" s="1" t="str">
        <f aca="false">"[""" &amp; BZ9 &amp; """, """ &amp; IF(CA9="","",TEXT(CA9,"h:mm")) &amp; """, """ &amp; IF(CB9="","",TEXT(CB9,"h:mm")) &amp; """],"</f>
        <v>["菱浦", "8:52", "9:00"],</v>
      </c>
      <c r="CD9" s="18" t="n">
        <f aca="false">IF(AND(LEN(CA9)&lt;&gt;0,LEN(CB9)&lt;&gt;0),((HOUR(CB9)*60)+MINUTE(CB9))-((HOUR(CA9)*60)+MINUTE(CA9)),"")</f>
        <v>8</v>
      </c>
      <c r="CF9" s="19" t="s">
        <v>30</v>
      </c>
      <c r="CG9" s="19" t="n">
        <v>0.375694444444445</v>
      </c>
      <c r="CH9" s="19" t="n">
        <v>0.377083333333333</v>
      </c>
      <c r="CI9" s="1" t="str">
        <f aca="false">"[""" &amp; CF9 &amp; """, """ &amp; IF(CG9="","",TEXT(CG9,"h:mm")) &amp; """, """ &amp; IF(CH9="","",TEXT(CH9,"h:mm")) &amp; """],"</f>
        <v>["菱浦", "9:01", "9:03"],</v>
      </c>
      <c r="CJ9" s="18" t="n">
        <f aca="false">IF(AND(LEN(CG9)&lt;&gt;0,LEN(CH9)&lt;&gt;0),((HOUR(CH9)*60)+MINUTE(CH9))-((HOUR(CG9)*60)+MINUTE(CG9)),"")</f>
        <v>2</v>
      </c>
      <c r="CK9" s="20" t="s">
        <v>29</v>
      </c>
      <c r="CL9" s="20" t="n">
        <v>0.348611111111111</v>
      </c>
      <c r="CM9" s="20" t="n">
        <v>0.350694444444444</v>
      </c>
      <c r="CN9" s="1" t="str">
        <f aca="false">"[""" &amp; CK9 &amp; """, """ &amp; IF(CL9="","",TEXT(CL9,"h:mm")) &amp; """, """ &amp; IF(CM9="","",TEXT(CM9,"h:mm")) &amp; """],"</f>
        <v>["別府", "8:22", "8:25"],</v>
      </c>
      <c r="CO9" s="18" t="n">
        <f aca="false">IF(AND(LEN(CL9)&lt;&gt;0,LEN(CM9)&lt;&gt;0),((HOUR(CM9)*60)+MINUTE(CM9))-((HOUR(CL9)*60)+MINUTE(CL9)),"")</f>
        <v>3</v>
      </c>
      <c r="CP9" s="20" t="s">
        <v>29</v>
      </c>
      <c r="CQ9" s="20" t="n">
        <v>0.348611111111111</v>
      </c>
      <c r="CR9" s="20" t="n">
        <v>0.350694444444444</v>
      </c>
      <c r="CS9" s="1" t="str">
        <f aca="false">"[""" &amp; CP9 &amp; """, """ &amp; IF(CQ9="","",TEXT(CQ9,"h:mm")) &amp; """, """ &amp; IF(CR9="","",TEXT(CR9,"h:mm")) &amp; """],"</f>
        <v>["別府", "8:22", "8:25"],</v>
      </c>
      <c r="CT9" s="18" t="n">
        <f aca="false">IF(AND(LEN(CQ9)&lt;&gt;0,LEN(CR9)&lt;&gt;0),((HOUR(CR9)*60)+MINUTE(CR9))-((HOUR(CQ9)*60)+MINUTE(CQ9)),"")</f>
        <v>3</v>
      </c>
      <c r="CU9" s="20" t="s">
        <v>29</v>
      </c>
      <c r="CV9" s="20" t="n">
        <v>0.382638888888889</v>
      </c>
      <c r="CW9" s="20" t="n">
        <v>0.5</v>
      </c>
      <c r="CX9" s="1" t="str">
        <f aca="false">"[""" &amp; CU9 &amp; """, """ &amp; IF(CV9="","",TEXT(CV9,"h:mm")) &amp; """, """ &amp; IF(CW9="","",TEXT(CW9,"h:mm")) &amp; """],"</f>
        <v>["別府", "9:11", "12:00"],</v>
      </c>
      <c r="CY9" s="18" t="n">
        <f aca="false">IF(AND(LEN(CV9)&lt;&gt;0,LEN(CW9)&lt;&gt;0),((HOUR(CW9)*60)+MINUTE(CW9))-((HOUR(CV9)*60)+MINUTE(CV9)),"")</f>
        <v>169</v>
      </c>
      <c r="CZ9" s="19" t="s">
        <v>30</v>
      </c>
      <c r="DA9" s="19" t="n">
        <v>0.391666666666667</v>
      </c>
      <c r="DB9" s="19" t="n">
        <v>0.393055555555556</v>
      </c>
      <c r="DC9" s="1" t="str">
        <f aca="false">"[""" &amp; CZ9 &amp; """, """ &amp; IF(DA9="","",TEXT(DA9,"h:mm")) &amp; """, """ &amp; IF(DB9="","",TEXT(DB9,"h:mm")) &amp; """],"</f>
        <v>["菱浦", "9:24", "9:26"],</v>
      </c>
      <c r="DD9" s="18" t="n">
        <f aca="false">IF(AND(LEN(DA9)&lt;&gt;0,LEN(DB9)&lt;&gt;0),((HOUR(DB9)*60)+MINUTE(DB9))-((HOUR(DA9)*60)+MINUTE(DA9)),"")</f>
        <v>2</v>
      </c>
      <c r="DE9" s="19" t="s">
        <v>30</v>
      </c>
      <c r="DF9" s="19" t="n">
        <v>0.391666666666667</v>
      </c>
      <c r="DG9" s="19" t="n">
        <v>0.393055555555556</v>
      </c>
      <c r="DH9" s="1" t="str">
        <f aca="false">"[""" &amp; DE9 &amp; """, """ &amp; IF(DF9="","",TEXT(DF9,"h:mm")) &amp; """, """ &amp; IF(DG9="","",TEXT(DG9,"h:mm")) &amp; """],"</f>
        <v>["菱浦", "9:24", "9:26"],</v>
      </c>
      <c r="DI9" s="18" t="n">
        <f aca="false">IF(AND(LEN(DF9)&lt;&gt;0,LEN(DG9)&lt;&gt;0),((HOUR(DG9)*60)+MINUTE(DG9))-((HOUR(DF9)*60)+MINUTE(DF9)),"")</f>
        <v>2</v>
      </c>
    </row>
    <row r="10" customFormat="false" ht="18" hidden="false" customHeight="false" outlineLevel="0" collapsed="false">
      <c r="A10" s="16" t="s">
        <v>27</v>
      </c>
      <c r="B10" s="17" t="n">
        <v>0.753472222222222</v>
      </c>
      <c r="C10" s="16"/>
      <c r="D10" s="1" t="str">
        <f aca="false">"[""" &amp; A10 &amp; """, """ &amp; IF(B10="","",TEXT(B10,"h:mm")) &amp; """, """ &amp; IF(C10="","",TEXT(C10,"h:mm")) &amp; """]"</f>
        <v>["七類", "18:05", ""]</v>
      </c>
      <c r="E10" s="18" t="str">
        <f aca="false">IF(AND(LEN(B10)&lt;&gt;0,LEN(C10)&lt;&gt;0),((HOUR(C10)*60)+MINUTE(C10))-((HOUR(B10)*60)+MINUTE(B10)),"")</f>
        <v/>
      </c>
      <c r="F10" s="16" t="s">
        <v>31</v>
      </c>
      <c r="G10" s="17" t="n">
        <v>0.690972222222222</v>
      </c>
      <c r="H10" s="16" t="n">
        <v>0.694444444444445</v>
      </c>
      <c r="I10" s="1" t="str">
        <f aca="false">"[""" &amp; F10 &amp; """, """ &amp; IF(G10="","",TEXT(G10,"h:mm")) &amp; """, """ &amp; IF(H10="","",TEXT(H10,"h:mm")) &amp; """],"</f>
        <v>["来居", "16:35", "16:40"],</v>
      </c>
      <c r="J10" s="18" t="n">
        <f aca="false">IF(AND(LEN(G10)&lt;&gt;0,LEN(H10)&lt;&gt;0),((HOUR(H10)*60)+MINUTE(H10))-((HOUR(G10)*60)+MINUTE(G10)),"")</f>
        <v>5</v>
      </c>
      <c r="N10" s="1" t="s">
        <v>33</v>
      </c>
      <c r="O10" s="18" t="str">
        <f aca="false">IF(AND(LEN(L10)&lt;&gt;0,LEN(M10)&lt;&gt;0),((HOUR(M10)*60)+MINUTE(M10))-((HOUR(L10)*60)+MINUTE(L10)),"")</f>
        <v/>
      </c>
      <c r="P10" s="16" t="s">
        <v>27</v>
      </c>
      <c r="Q10" s="17" t="n">
        <v>0.732638888888889</v>
      </c>
      <c r="R10" s="16"/>
      <c r="S10" s="1" t="str">
        <f aca="false">"[""" &amp; P10 &amp; """, """ &amp; IF(Q10="","",TEXT(Q10,"h:mm")) &amp; """, """ &amp; IF(R10="","",TEXT(R10,"h:mm")) &amp; """]"</f>
        <v>["七類", "17:35", ""]</v>
      </c>
      <c r="T10" s="18" t="str">
        <f aca="false">IF(AND(LEN(Q10)&lt;&gt;0,LEN(R10)&lt;&gt;0),((HOUR(R10)*60)+MINUTE(R10))-((HOUR(Q10)*60)+MINUTE(Q10)),"")</f>
        <v/>
      </c>
      <c r="U10" s="16" t="s">
        <v>29</v>
      </c>
      <c r="V10" s="17" t="n">
        <v>0.711805555555556</v>
      </c>
      <c r="W10" s="17" t="n">
        <v>0.71875</v>
      </c>
      <c r="X10" s="1" t="str">
        <f aca="false">"[""" &amp; U10 &amp; """, """ &amp; IF(V10="","",TEXT(V10,"h:mm")) &amp; """, """ &amp; IF(W10="","",TEXT(W10,"h:mm")) &amp; """],"</f>
        <v>["別府", "17:05", "17:15"],</v>
      </c>
      <c r="Y10" s="18" t="n">
        <f aca="false">IF(AND(LEN(V10)&lt;&gt;0,LEN(W10)&lt;&gt;0),((HOUR(W10)*60)+MINUTE(W10))-((HOUR(V10)*60)+MINUTE(V10)),"")</f>
        <v>10</v>
      </c>
      <c r="AC10" s="1" t="s">
        <v>33</v>
      </c>
      <c r="AD10" s="18" t="str">
        <f aca="false">IF(AND(LEN(AA10)&lt;&gt;0,LEN(AB10)&lt;&gt;0),((HOUR(AB10)*60)+MINUTE(AB10))-((HOUR(AA10)*60)+MINUTE(AA10)),"")</f>
        <v/>
      </c>
      <c r="AE10" s="16" t="s">
        <v>30</v>
      </c>
      <c r="AF10" s="17" t="n">
        <v>0.645833333333333</v>
      </c>
      <c r="AG10" s="16" t="n">
        <v>0.65625</v>
      </c>
      <c r="AH10" s="1" t="str">
        <f aca="false">"[""" &amp; AE10 &amp; """, """ &amp; IF(AF10="","",TEXT(AF10,"h:mm")) &amp; """, """ &amp; IF(AG10="","",TEXT(AG10,"h:mm")) &amp; """],"</f>
        <v>["菱浦", "15:30", "15:45"],</v>
      </c>
      <c r="AI10" s="18" t="n">
        <f aca="false">IF(AND(LEN(AF10)&lt;&gt;0,LEN(AG10)&lt;&gt;0),((HOUR(AG10)*60)+MINUTE(AG10))-((HOUR(AF10)*60)+MINUTE(AF10)),"")</f>
        <v>15</v>
      </c>
      <c r="AJ10" s="16" t="s">
        <v>29</v>
      </c>
      <c r="AK10" s="17" t="n">
        <v>0.711805555555556</v>
      </c>
      <c r="AL10" s="17" t="n">
        <v>0.71875</v>
      </c>
      <c r="AM10" s="1" t="str">
        <f aca="false">"[""" &amp; AJ10 &amp; """, """ &amp; IF(AK10="","",TEXT(AK10,"h:mm")) &amp; """, """ &amp; IF(AL10="","",TEXT(AL10,"h:mm")) &amp; """],"</f>
        <v>["別府", "17:05", "17:15"],</v>
      </c>
      <c r="AN10" s="18" t="n">
        <f aca="false">IF(AND(LEN(AK10)&lt;&gt;0,LEN(AL10)&lt;&gt;0),((HOUR(AL10)*60)+MINUTE(AL10))-((HOUR(AK10)*60)+MINUTE(AK10)),"")</f>
        <v>10</v>
      </c>
      <c r="AP10" s="16" t="s">
        <v>30</v>
      </c>
      <c r="AQ10" s="17" t="n">
        <v>0.756944444444445</v>
      </c>
      <c r="AR10" s="16" t="n">
        <v>0.759027777777778</v>
      </c>
      <c r="AS10" s="1" t="str">
        <f aca="false">"[""" &amp; AP10 &amp; """, """ &amp; IF(AQ10="","",TEXT(AQ10,"h:mm")) &amp; """, """ &amp; IF(AR10="","",TEXT(AR10,"h:mm")) &amp; """],"</f>
        <v>["菱浦", "18:10", "18:13"],</v>
      </c>
      <c r="AT10" s="18" t="n">
        <f aca="false">IF(AND(LEN(AQ10)&lt;&gt;0,LEN(AR10)&lt;&gt;0),((HOUR(AR10)*60)+MINUTE(AR10))-((HOUR(AQ10)*60)+MINUTE(AQ10)),"")</f>
        <v>3</v>
      </c>
      <c r="AU10" s="16" t="s">
        <v>30</v>
      </c>
      <c r="AV10" s="17" t="n">
        <v>0.775</v>
      </c>
      <c r="AW10" s="16" t="n">
        <v>0.777083333333333</v>
      </c>
      <c r="AX10" s="1" t="str">
        <f aca="false">"[""" &amp; AU10 &amp; """, """ &amp; IF(AV10="","",TEXT(AV10,"h:mm")) &amp; """, """ &amp; IF(AW10="","",TEXT(AW10,"h:mm")) &amp; """],"</f>
        <v>["菱浦", "18:36", "18:39"],</v>
      </c>
      <c r="AY10" s="18" t="n">
        <f aca="false">IF(AND(LEN(AV10)&lt;&gt;0,LEN(AW10)&lt;&gt;0),((HOUR(AW10)*60)+MINUTE(AW10))-((HOUR(AV10)*60)+MINUTE(AV10)),"")</f>
        <v>3</v>
      </c>
      <c r="AZ10" s="16" t="s">
        <v>29</v>
      </c>
      <c r="BA10" s="17" t="n">
        <v>0.586805555555556</v>
      </c>
      <c r="BB10" s="17" t="n">
        <v>0.591666666666667</v>
      </c>
      <c r="BC10" s="1" t="str">
        <f aca="false">"[""" &amp; AZ10 &amp; """, """ &amp; IF(BA10="","",TEXT(BA10,"h:mm")) &amp; """, """ &amp; IF(BB10="","",TEXT(BB10,"h:mm")) &amp; """],"</f>
        <v>["別府", "14:05", "14:12"],</v>
      </c>
      <c r="BD10" s="18" t="n">
        <f aca="false">IF(AND(LEN(BA10)&lt;&gt;0,LEN(BB10)&lt;&gt;0),((HOUR(BB10)*60)+MINUTE(BB10))-((HOUR(BA10)*60)+MINUTE(BA10)),"")</f>
        <v>7</v>
      </c>
      <c r="BE10" s="16" t="s">
        <v>30</v>
      </c>
      <c r="BF10" s="17" t="n">
        <v>0.729861111111111</v>
      </c>
      <c r="BG10" s="16" t="n">
        <v>0.731944444444444</v>
      </c>
      <c r="BH10" s="1" t="str">
        <f aca="false">"[""" &amp; BE10 &amp; """, """ &amp; IF(BF10="","",TEXT(BF10,"h:mm")) &amp; """, """ &amp; IF(BG10="","",TEXT(BG10,"h:mm")) &amp; """],"</f>
        <v>["菱浦", "17:31", "17:34"],</v>
      </c>
      <c r="BI10" s="18" t="n">
        <f aca="false">IF(AND(LEN(BF10)&lt;&gt;0,LEN(BG10)&lt;&gt;0),((HOUR(BG10)*60)+MINUTE(BG10))-((HOUR(BF10)*60)+MINUTE(BF10)),"")</f>
        <v>3</v>
      </c>
      <c r="BJ10" s="16" t="s">
        <v>30</v>
      </c>
      <c r="BK10" s="17" t="n">
        <v>0.715277777777778</v>
      </c>
      <c r="BL10" s="16" t="n">
        <v>0.717361111111111</v>
      </c>
      <c r="BM10" s="1" t="str">
        <f aca="false">"[""" &amp; BJ10 &amp; """, """ &amp; IF(BK10="","",TEXT(BK10,"h:mm")) &amp; """, """ &amp; IF(BL10="","",TEXT(BL10,"h:mm")) &amp; """],"</f>
        <v>["菱浦", "17:10", "17:13"],</v>
      </c>
      <c r="BN10" s="18" t="n">
        <f aca="false">IF(AND(LEN(BK10)&lt;&gt;0,LEN(BL10)&lt;&gt;0),((HOUR(BL10)*60)+MINUTE(BL10))-((HOUR(BK10)*60)+MINUTE(BK10)),"")</f>
        <v>3</v>
      </c>
      <c r="BP10" s="20" t="s">
        <v>29</v>
      </c>
      <c r="BQ10" s="20" t="n">
        <v>0.65625</v>
      </c>
      <c r="BR10" s="20" t="n">
        <v>0.659722222222222</v>
      </c>
      <c r="BS10" s="1" t="str">
        <f aca="false">"[""" &amp; BP10 &amp; """, """ &amp; IF(BQ10="","",TEXT(BQ10,"h:mm")) &amp; """, """ &amp; IF(BR10="","",TEXT(BR10,"h:mm")) &amp; """],"</f>
        <v>["別府", "15:45", "15:50"],</v>
      </c>
      <c r="BT10" s="18" t="n">
        <f aca="false">IF(AND(LEN(BQ10)&lt;&gt;0,LEN(BR10)&lt;&gt;0),((HOUR(BR10)*60)+MINUTE(BR10))-((HOUR(BQ10)*60)+MINUTE(BQ10)),"")</f>
        <v>5</v>
      </c>
      <c r="BX10" s="1" t="s">
        <v>33</v>
      </c>
      <c r="BY10" s="18" t="str">
        <f aca="false">IF(AND(LEN(BV10)&lt;&gt;0,LEN(BW10)&lt;&gt;0),((HOUR(BW10)*60)+MINUTE(BW10))-((HOUR(BV10)*60)+MINUTE(BV10)),"")</f>
        <v/>
      </c>
      <c r="BZ10" s="20" t="s">
        <v>29</v>
      </c>
      <c r="CA10" s="20" t="n">
        <v>0.385416666666667</v>
      </c>
      <c r="CB10" s="20" t="n">
        <v>0.388888888888889</v>
      </c>
      <c r="CC10" s="1" t="str">
        <f aca="false">"[""" &amp; BZ10 &amp; """, """ &amp; IF(CA10="","",TEXT(CA10,"h:mm")) &amp; """, """ &amp; IF(CB10="","",TEXT(CB10,"h:mm")) &amp; """],"</f>
        <v>["別府", "9:15", "9:20"],</v>
      </c>
      <c r="CD10" s="18" t="n">
        <f aca="false">IF(AND(LEN(CA10)&lt;&gt;0,LEN(CB10)&lt;&gt;0),((HOUR(CB10)*60)+MINUTE(CB10))-((HOUR(CA10)*60)+MINUTE(CA10)),"")</f>
        <v>5</v>
      </c>
      <c r="CF10" s="20" t="s">
        <v>29</v>
      </c>
      <c r="CG10" s="20" t="n">
        <v>0.382638888888889</v>
      </c>
      <c r="CH10" s="20" t="n">
        <v>0.5</v>
      </c>
      <c r="CI10" s="1" t="str">
        <f aca="false">"[""" &amp; CF10 &amp; """, """ &amp; IF(CG10="","",TEXT(CG10,"h:mm")) &amp; """, """ &amp; IF(CH10="","",TEXT(CH10,"h:mm")) &amp; """],"</f>
        <v>["別府", "9:11", "12:00"],</v>
      </c>
      <c r="CJ10" s="18" t="n">
        <f aca="false">IF(AND(LEN(CG10)&lt;&gt;0,LEN(CH10)&lt;&gt;0),((HOUR(CH10)*60)+MINUTE(CH10))-((HOUR(CG10)*60)+MINUTE(CG10)),"")</f>
        <v>169</v>
      </c>
      <c r="CK10" s="19" t="s">
        <v>30</v>
      </c>
      <c r="CL10" s="19" t="n">
        <v>0.355555555555556</v>
      </c>
      <c r="CM10" s="19" t="n">
        <v>0.356944444444444</v>
      </c>
      <c r="CN10" s="1" t="str">
        <f aca="false">"[""" &amp; CK10 &amp; """, """ &amp; IF(CL10="","",TEXT(CL10,"h:mm")) &amp; """, """ &amp; IF(CM10="","",TEXT(CM10,"h:mm")) &amp; """],"</f>
        <v>["菱浦", "8:32", "8:34"],</v>
      </c>
      <c r="CO10" s="18" t="n">
        <f aca="false">IF(AND(LEN(CL10)&lt;&gt;0,LEN(CM10)&lt;&gt;0),((HOUR(CM10)*60)+MINUTE(CM10))-((HOUR(CL10)*60)+MINUTE(CL10)),"")</f>
        <v>2</v>
      </c>
      <c r="CP10" s="19" t="s">
        <v>30</v>
      </c>
      <c r="CQ10" s="19" t="n">
        <v>0.355555555555556</v>
      </c>
      <c r="CR10" s="19" t="n">
        <v>0.356944444444444</v>
      </c>
      <c r="CS10" s="1" t="str">
        <f aca="false">"[""" &amp; CP10 &amp; """, """ &amp; IF(CQ10="","",TEXT(CQ10,"h:mm")) &amp; """, """ &amp; IF(CR10="","",TEXT(CR10,"h:mm")) &amp; """],"</f>
        <v>["菱浦", "8:32", "8:34"],</v>
      </c>
      <c r="CT10" s="18" t="n">
        <f aca="false">IF(AND(LEN(CQ10)&lt;&gt;0,LEN(CR10)&lt;&gt;0),((HOUR(CR10)*60)+MINUTE(CR10))-((HOUR(CQ10)*60)+MINUTE(CQ10)),"")</f>
        <v>2</v>
      </c>
      <c r="CU10" s="19" t="s">
        <v>30</v>
      </c>
      <c r="CV10" s="19" t="n">
        <v>0.505555555555556</v>
      </c>
      <c r="CW10" s="19" t="n">
        <v>0.539583333333333</v>
      </c>
      <c r="CX10" s="1" t="str">
        <f aca="false">"[""" &amp; CU10 &amp; """, """ &amp; IF(CV10="","",TEXT(CV10,"h:mm")) &amp; """, """ &amp; IF(CW10="","",TEXT(CW10,"h:mm")) &amp; """],"</f>
        <v>["菱浦", "12:08", "12:57"],</v>
      </c>
      <c r="CY10" s="18" t="n">
        <f aca="false">IF(AND(LEN(CV10)&lt;&gt;0,LEN(CW10)&lt;&gt;0),((HOUR(CW10)*60)+MINUTE(CW10))-((HOUR(CV10)*60)+MINUTE(CV10)),"")</f>
        <v>49</v>
      </c>
      <c r="CZ10" s="20" t="s">
        <v>29</v>
      </c>
      <c r="DA10" s="20" t="n">
        <v>0.397916666666667</v>
      </c>
      <c r="DB10" s="20" t="n">
        <v>0.418055555555556</v>
      </c>
      <c r="DC10" s="1" t="str">
        <f aca="false">"[""" &amp; CZ10 &amp; """, """ &amp; IF(DA10="","",TEXT(DA10,"h:mm")) &amp; """, """ &amp; IF(DB10="","",TEXT(DB10,"h:mm")) &amp; """],"</f>
        <v>["別府", "9:33", "10:02"],</v>
      </c>
      <c r="DD10" s="18" t="n">
        <f aca="false">IF(AND(LEN(DA10)&lt;&gt;0,LEN(DB10)&lt;&gt;0),((HOUR(DB10)*60)+MINUTE(DB10))-((HOUR(DA10)*60)+MINUTE(DA10)),"")</f>
        <v>29</v>
      </c>
      <c r="DE10" s="20" t="s">
        <v>29</v>
      </c>
      <c r="DF10" s="20" t="n">
        <v>0.397916666666667</v>
      </c>
      <c r="DG10" s="20" t="n">
        <v>0.418055555555556</v>
      </c>
      <c r="DH10" s="1" t="str">
        <f aca="false">"[""" &amp; DE10 &amp; """, """ &amp; IF(DF10="","",TEXT(DF10,"h:mm")) &amp; """, """ &amp; IF(DG10="","",TEXT(DG10,"h:mm")) &amp; """],"</f>
        <v>["別府", "9:33", "10:02"],</v>
      </c>
      <c r="DI10" s="18" t="n">
        <f aca="false">IF(AND(LEN(DF10)&lt;&gt;0,LEN(DG10)&lt;&gt;0),((HOUR(DG10)*60)+MINUTE(DG10))-((HOUR(DF10)*60)+MINUTE(DF10)),"")</f>
        <v>29</v>
      </c>
    </row>
    <row r="11" customFormat="false" ht="18" hidden="false" customHeight="false" outlineLevel="0" collapsed="false">
      <c r="D11" s="1" t="s">
        <v>33</v>
      </c>
      <c r="E11" s="18" t="str">
        <f aca="false">IF(AND(LEN(B11)&lt;&gt;0,LEN(C11)&lt;&gt;0),((HOUR(C11)*60)+MINUTE(C11))-((HOUR(B11)*60)+MINUTE(B11)),"")</f>
        <v/>
      </c>
      <c r="F11" s="23" t="s">
        <v>29</v>
      </c>
      <c r="G11" s="24" t="n">
        <v>0.715277777777778</v>
      </c>
      <c r="H11" s="25" t="n">
        <v>0.722222222222222</v>
      </c>
      <c r="I11" s="1" t="str">
        <f aca="false">"[""" &amp; F11 &amp; """, """ &amp; IF(G11="","",TEXT(G11,"h:mm")) &amp; """, """ &amp; IF(H11="","",TEXT(H11,"h:mm")) &amp; """],"</f>
        <v>["別府", "17:10", "17:20"],</v>
      </c>
      <c r="J11" s="18" t="n">
        <f aca="false">IF(AND(LEN(G11)&lt;&gt;0,LEN(H11)&lt;&gt;0),((HOUR(H11)*60)+MINUTE(H11))-((HOUR(G11)*60)+MINUTE(G11)),"")</f>
        <v>10</v>
      </c>
      <c r="O11" s="18"/>
      <c r="S11" s="1" t="s">
        <v>33</v>
      </c>
      <c r="T11" s="18" t="str">
        <f aca="false">IF(AND(LEN(Q11)&lt;&gt;0,LEN(R11)&lt;&gt;0),((HOUR(R11)*60)+MINUTE(R11))-((HOUR(Q11)*60)+MINUTE(Q11)),"")</f>
        <v/>
      </c>
      <c r="U11" s="16" t="s">
        <v>28</v>
      </c>
      <c r="V11" s="17" t="n">
        <v>0.770833333333333</v>
      </c>
      <c r="W11" s="16"/>
      <c r="X11" s="1" t="str">
        <f aca="false">"[""" &amp; U11 &amp; """, """ &amp; IF(V11="","",TEXT(V11,"h:mm")) &amp; """, """ &amp; IF(W11="","",TEXT(W11,"h:mm")) &amp; """]"</f>
        <v>["西郷", "18:30", ""]</v>
      </c>
      <c r="Y11" s="18" t="str">
        <f aca="false">IF(AND(LEN(V11)&lt;&gt;0,LEN(W11)&lt;&gt;0),((HOUR(W11)*60)+MINUTE(W11))-((HOUR(V11)*60)+MINUTE(V11)),"")</f>
        <v/>
      </c>
      <c r="AD11" s="18"/>
      <c r="AE11" s="16" t="s">
        <v>29</v>
      </c>
      <c r="AF11" s="16" t="n">
        <v>0.666666666666667</v>
      </c>
      <c r="AG11" s="17" t="n">
        <v>0.677083333333333</v>
      </c>
      <c r="AH11" s="1" t="str">
        <f aca="false">"[""" &amp; AE11 &amp; """, """ &amp; IF(AF11="","",TEXT(AF11,"h:mm")) &amp; """, """ &amp; IF(AG11="","",TEXT(AG11,"h:mm")) &amp; """],"</f>
        <v>["別府", "16:00", "16:15"],</v>
      </c>
      <c r="AI11" s="18" t="n">
        <f aca="false">IF(AND(LEN(AF11)&lt;&gt;0,LEN(AG11)&lt;&gt;0),((HOUR(AG11)*60)+MINUTE(AG11))-((HOUR(AF11)*60)+MINUTE(AF11)),"")</f>
        <v>15</v>
      </c>
      <c r="AJ11" s="16" t="s">
        <v>28</v>
      </c>
      <c r="AK11" s="17" t="n">
        <v>0.770833333333333</v>
      </c>
      <c r="AL11" s="16"/>
      <c r="AM11" s="1" t="str">
        <f aca="false">"[""" &amp; AJ11 &amp; """, """ &amp; IF(AK11="","",TEXT(AK11,"h:mm")) &amp; """, """ &amp; IF(AL11="","",TEXT(AL11,"h:mm")) &amp; """]"</f>
        <v>["西郷", "18:30", ""]</v>
      </c>
      <c r="AN11" s="18" t="str">
        <f aca="false">IF(AND(LEN(AK11)&lt;&gt;0,LEN(AL11)&lt;&gt;0),((HOUR(AL11)*60)+MINUTE(AL11))-((HOUR(AK11)*60)+MINUTE(AK11)),"")</f>
        <v/>
      </c>
      <c r="AP11" s="16" t="s">
        <v>29</v>
      </c>
      <c r="AQ11" s="16" t="n">
        <v>0.765972222222222</v>
      </c>
      <c r="AR11" s="16"/>
      <c r="AS11" s="1" t="str">
        <f aca="false">"[""" &amp; AP11 &amp; """, """ &amp; IF(AQ11="","",TEXT(AQ11,"h:mm")) &amp; """, """ &amp; IF(AR11="","",TEXT(AR11,"h:mm")) &amp; """]"</f>
        <v>["別府", "18:23", ""]</v>
      </c>
      <c r="AT11" s="18" t="str">
        <f aca="false">IF(AND(LEN(AQ11)&lt;&gt;0,LEN(AR11)&lt;&gt;0),((HOUR(AR11)*60)+MINUTE(AR11))-((HOUR(AQ11)*60)+MINUTE(AQ11)),"")</f>
        <v/>
      </c>
      <c r="AU11" s="16" t="s">
        <v>29</v>
      </c>
      <c r="AV11" s="16" t="n">
        <v>0.784027777777778</v>
      </c>
      <c r="AW11" s="16"/>
      <c r="AX11" s="1" t="str">
        <f aca="false">"[""" &amp; AU11 &amp; """, """ &amp; IF(AV11="","",TEXT(AV11,"h:mm")) &amp; """, """ &amp; IF(AW11="","",TEXT(AW11,"h:mm")) &amp; """]"</f>
        <v>["別府", "18:49", ""]</v>
      </c>
      <c r="AY11" s="18" t="str">
        <f aca="false">IF(AND(LEN(AV11)&lt;&gt;0,LEN(AW11)&lt;&gt;0),((HOUR(AW11)*60)+MINUTE(AW11))-((HOUR(AV11)*60)+MINUTE(AV11)),"")</f>
        <v/>
      </c>
      <c r="AZ11" s="16" t="s">
        <v>27</v>
      </c>
      <c r="BA11" s="17" t="n">
        <v>0.633333333333333</v>
      </c>
      <c r="BB11" s="17" t="n">
        <v>0.701388888888889</v>
      </c>
      <c r="BC11" s="1" t="str">
        <f aca="false">"[""" &amp; AZ11 &amp; """, """ &amp; IF(BA11="","",TEXT(BA11,"h:mm")) &amp; """, """ &amp; IF(BB11="","",TEXT(BB11,"h:mm")) &amp; """],"</f>
        <v>["七類", "15:12", "16:50"],</v>
      </c>
      <c r="BD11" s="18" t="n">
        <f aca="false">IF(AND(LEN(BA11)&lt;&gt;0,LEN(BB11)&lt;&gt;0),((HOUR(BB11)*60)+MINUTE(BB11))-((HOUR(BA11)*60)+MINUTE(BA11)),"")</f>
        <v>98</v>
      </c>
      <c r="BE11" s="16" t="s">
        <v>29</v>
      </c>
      <c r="BF11" s="16" t="n">
        <v>0.738888888888889</v>
      </c>
      <c r="BG11" s="16"/>
      <c r="BH11" s="1" t="str">
        <f aca="false">"[""" &amp; BE11 &amp; """, """ &amp; IF(BF11="","",TEXT(BF11,"h:mm")) &amp; """, """ &amp; IF(BG11="","",TEXT(BG11,"h:mm")) &amp; """]"</f>
        <v>["別府", "17:44", ""]</v>
      </c>
      <c r="BI11" s="18" t="str">
        <f aca="false">IF(AND(LEN(BF11)&lt;&gt;0,LEN(BG11)&lt;&gt;0),((HOUR(BG11)*60)+MINUTE(BG11))-((HOUR(BF11)*60)+MINUTE(BF11)),"")</f>
        <v/>
      </c>
      <c r="BJ11" s="16" t="s">
        <v>29</v>
      </c>
      <c r="BK11" s="16" t="n">
        <v>0.724305555555556</v>
      </c>
      <c r="BL11" s="16"/>
      <c r="BM11" s="1" t="str">
        <f aca="false">"[""" &amp; BJ11 &amp; """, """ &amp; IF(BK11="","",TEXT(BK11,"h:mm")) &amp; """, """ &amp; IF(BL11="","",TEXT(BL11,"h:mm")) &amp; """]"</f>
        <v>["別府", "17:23", ""]</v>
      </c>
      <c r="BN11" s="18" t="str">
        <f aca="false">IF(AND(LEN(BK11)&lt;&gt;0,LEN(BL11)&lt;&gt;0),((HOUR(BL11)*60)+MINUTE(BL11))-((HOUR(BK11)*60)+MINUTE(BK11)),"")</f>
        <v/>
      </c>
      <c r="BP11" s="19" t="s">
        <v>30</v>
      </c>
      <c r="BQ11" s="19" t="n">
        <v>0.668055555555556</v>
      </c>
      <c r="BR11" s="19" t="n">
        <v>0.722222222222222</v>
      </c>
      <c r="BS11" s="1" t="str">
        <f aca="false">"[""" &amp; BP11 &amp; """, """ &amp; IF(BQ11="","",TEXT(BQ11,"h:mm")) &amp; """, """ &amp; IF(BR11="","",TEXT(BR11,"h:mm")) &amp; """],"</f>
        <v>["菱浦", "16:02", "17:20"],</v>
      </c>
      <c r="BT11" s="18" t="n">
        <f aca="false">IF(AND(LEN(BQ11)&lt;&gt;0,LEN(BR11)&lt;&gt;0),((HOUR(BR11)*60)+MINUTE(BR11))-((HOUR(BQ11)*60)+MINUTE(BQ11)),"")</f>
        <v>78</v>
      </c>
      <c r="BY11" s="18" t="str">
        <f aca="false">IF(AND(LEN(BV11)&lt;&gt;0,LEN(BW11)&lt;&gt;0),((HOUR(BW11)*60)+MINUTE(BW11))-((HOUR(BV11)*60)+MINUTE(BV11)),"")</f>
        <v/>
      </c>
      <c r="BZ11" s="21" t="s">
        <v>31</v>
      </c>
      <c r="CA11" s="22" t="n">
        <v>0.410416666666667</v>
      </c>
      <c r="CB11" s="22" t="n">
        <v>0.414583333333333</v>
      </c>
      <c r="CC11" s="1" t="str">
        <f aca="false">"[""" &amp; BZ11 &amp; """, """ &amp; IF(CA11="","",TEXT(CA11,"h:mm")) &amp; """, """ &amp; IF(CB11="","",TEXT(CB11,"h:mm")) &amp; """],"</f>
        <v>["来居", "9:51", "9:57"],</v>
      </c>
      <c r="CD11" s="18" t="n">
        <f aca="false">IF(AND(LEN(CA11)&lt;&gt;0,LEN(CB11)&lt;&gt;0),((HOUR(CB11)*60)+MINUTE(CB11))-((HOUR(CA11)*60)+MINUTE(CA11)),"")</f>
        <v>6</v>
      </c>
      <c r="CF11" s="19" t="s">
        <v>30</v>
      </c>
      <c r="CG11" s="19" t="n">
        <v>0.505555555555556</v>
      </c>
      <c r="CH11" s="19" t="n">
        <v>0.506944444444444</v>
      </c>
      <c r="CI11" s="1" t="str">
        <f aca="false">"[""" &amp; CF11 &amp; """, """ &amp; IF(CG11="","",TEXT(CG11,"h:mm")) &amp; """, """ &amp; IF(CH11="","",TEXT(CH11,"h:mm")) &amp; """],"</f>
        <v>["菱浦", "12:08", "12:10"],</v>
      </c>
      <c r="CJ11" s="18" t="n">
        <f aca="false">IF(AND(LEN(CG11)&lt;&gt;0,LEN(CH11)&lt;&gt;0),((HOUR(CH11)*60)+MINUTE(CH11))-((HOUR(CG11)*60)+MINUTE(CG11)),"")</f>
        <v>2</v>
      </c>
      <c r="CK11" s="21" t="s">
        <v>31</v>
      </c>
      <c r="CL11" s="22" t="n">
        <v>0.369444444444444</v>
      </c>
      <c r="CM11" s="22" t="n">
        <v>0.373611111111111</v>
      </c>
      <c r="CN11" s="1" t="str">
        <f aca="false">"[""" &amp; CK11 &amp; """, """ &amp; IF(CL11="","",TEXT(CL11,"h:mm")) &amp; """, """ &amp; IF(CM11="","",TEXT(CM11,"h:mm")) &amp; """],"</f>
        <v>["来居", "8:52", "8:58"],</v>
      </c>
      <c r="CO11" s="18" t="n">
        <f aca="false">IF(AND(LEN(CL11)&lt;&gt;0,LEN(CM11)&lt;&gt;0),((HOUR(CM11)*60)+MINUTE(CM11))-((HOUR(CL11)*60)+MINUTE(CL11)),"")</f>
        <v>6</v>
      </c>
      <c r="CP11" s="21" t="s">
        <v>31</v>
      </c>
      <c r="CQ11" s="22" t="n">
        <v>0.369444444444444</v>
      </c>
      <c r="CR11" s="22" t="n">
        <v>0.373611111111111</v>
      </c>
      <c r="CS11" s="1" t="str">
        <f aca="false">"[""" &amp; CP11 &amp; """, """ &amp; IF(CQ11="","",TEXT(CQ11,"h:mm")) &amp; """, """ &amp; IF(CR11="","",TEXT(CR11,"h:mm")) &amp; """],"</f>
        <v>["来居", "8:52", "8:58"],</v>
      </c>
      <c r="CT11" s="18" t="n">
        <f aca="false">IF(AND(LEN(CQ11)&lt;&gt;0,LEN(CR11)&lt;&gt;0),((HOUR(CR11)*60)+MINUTE(CR11))-((HOUR(CQ11)*60)+MINUTE(CQ11)),"")</f>
        <v>6</v>
      </c>
      <c r="CU11" s="20" t="s">
        <v>29</v>
      </c>
      <c r="CV11" s="20" t="n">
        <v>0.545138888888889</v>
      </c>
      <c r="CW11" s="20" t="n">
        <v>0.552083333333333</v>
      </c>
      <c r="CX11" s="1" t="str">
        <f aca="false">"[""" &amp; CU11 &amp; """, """ &amp; IF(CV11="","",TEXT(CV11,"h:mm")) &amp; """, """ &amp; IF(CW11="","",TEXT(CW11,"h:mm")) &amp; """],"</f>
        <v>["別府", "13:05", "13:15"],</v>
      </c>
      <c r="CY11" s="18" t="n">
        <f aca="false">IF(AND(LEN(CV11)&lt;&gt;0,LEN(CW11)&lt;&gt;0),((HOUR(CW11)*60)+MINUTE(CW11))-((HOUR(CV11)*60)+MINUTE(CV11)),"")</f>
        <v>10</v>
      </c>
      <c r="CZ11" s="19" t="s">
        <v>30</v>
      </c>
      <c r="DA11" s="19" t="n">
        <v>0.422916666666667</v>
      </c>
      <c r="DB11" s="19" t="n">
        <v>0.452083333333333</v>
      </c>
      <c r="DC11" s="1" t="str">
        <f aca="false">"[""" &amp; CZ11 &amp; """, """ &amp; IF(DA11="","",TEXT(DA11,"h:mm")) &amp; """, """ &amp; IF(DB11="","",TEXT(DB11,"h:mm")) &amp; """],"</f>
        <v>["菱浦", "10:09", "10:51"],</v>
      </c>
      <c r="DD11" s="18" t="n">
        <f aca="false">IF(AND(LEN(DA11)&lt;&gt;0,LEN(DB11)&lt;&gt;0),((HOUR(DB11)*60)+MINUTE(DB11))-((HOUR(DA11)*60)+MINUTE(DA11)),"")</f>
        <v>42</v>
      </c>
      <c r="DE11" s="19" t="s">
        <v>30</v>
      </c>
      <c r="DF11" s="19" t="n">
        <v>0.422916666666667</v>
      </c>
      <c r="DG11" s="19" t="n">
        <v>0.452083333333333</v>
      </c>
      <c r="DH11" s="1" t="str">
        <f aca="false">"[""" &amp; DE11 &amp; """, """ &amp; IF(DF11="","",TEXT(DF11,"h:mm")) &amp; """, """ &amp; IF(DG11="","",TEXT(DG11,"h:mm")) &amp; """],"</f>
        <v>["菱浦", "10:09", "10:51"],</v>
      </c>
      <c r="DI11" s="18" t="n">
        <f aca="false">IF(AND(LEN(DF11)&lt;&gt;0,LEN(DG11)&lt;&gt;0),((HOUR(DG11)*60)+MINUTE(DG11))-((HOUR(DF11)*60)+MINUTE(DF11)),"")</f>
        <v>42</v>
      </c>
    </row>
    <row r="12" customFormat="false" ht="18" hidden="false" customHeight="false" outlineLevel="0" collapsed="false">
      <c r="E12" s="18"/>
      <c r="F12" s="23" t="s">
        <v>28</v>
      </c>
      <c r="G12" s="25" t="n">
        <v>0.774305555555556</v>
      </c>
      <c r="H12" s="23"/>
      <c r="I12" s="1" t="str">
        <f aca="false">"[""" &amp; F12 &amp; """, """ &amp; IF(G12="","",TEXT(G12,"h:mm")) &amp; """, """ &amp; IF(H12="","",TEXT(H12,"h:mm")) &amp; """]"</f>
        <v>["西郷", "18:35", ""]</v>
      </c>
      <c r="J12" s="18" t="str">
        <f aca="false">IF(AND(LEN(G12)&lt;&gt;0,LEN(H12)&lt;&gt;0),((HOUR(H12)*60)+MINUTE(H12))-((HOUR(G12)*60)+MINUTE(G12)),"")</f>
        <v/>
      </c>
      <c r="O12" s="18"/>
      <c r="T12" s="18"/>
      <c r="X12" s="1" t="s">
        <v>33</v>
      </c>
      <c r="Y12" s="18" t="str">
        <f aca="false">IF(AND(LEN(V12)&lt;&gt;0,LEN(W12)&lt;&gt;0),((HOUR(W12)*60)+MINUTE(W12))-((HOUR(V12)*60)+MINUTE(V12)),"")</f>
        <v/>
      </c>
      <c r="AD12" s="18"/>
      <c r="AE12" s="16" t="s">
        <v>27</v>
      </c>
      <c r="AF12" s="17" t="n">
        <v>0.767361111111111</v>
      </c>
      <c r="AG12" s="16"/>
      <c r="AH12" s="1" t="str">
        <f aca="false">"[""" &amp; AE12 &amp; """, """ &amp; IF(AF12="","",TEXT(AF12,"h:mm")) &amp; """, """ &amp; IF(AG12="","",TEXT(AG12,"h:mm")) &amp; """]"</f>
        <v>["七類", "18:25", ""]</v>
      </c>
      <c r="AI12" s="18" t="str">
        <f aca="false">IF(AND(LEN(AF12)&lt;&gt;0,LEN(AG12)&lt;&gt;0),((HOUR(AG12)*60)+MINUTE(AG12))-((HOUR(AF12)*60)+MINUTE(AF12)),"")</f>
        <v/>
      </c>
      <c r="AM12" s="1" t="s">
        <v>33</v>
      </c>
      <c r="AN12" s="18" t="str">
        <f aca="false">IF(AND(LEN(AK12)&lt;&gt;0,LEN(AL12)&lt;&gt;0),((HOUR(AL12)*60)+MINUTE(AL12))-((HOUR(AK12)*60)+MINUTE(AK12)),"")</f>
        <v/>
      </c>
      <c r="AS12" s="1" t="s">
        <v>33</v>
      </c>
      <c r="AT12" s="18" t="str">
        <f aca="false">IF(AND(LEN(AQ12)&lt;&gt;0,LEN(AR12)&lt;&gt;0),((HOUR(AR12)*60)+MINUTE(AR12))-((HOUR(AQ12)*60)+MINUTE(AQ12)),"")</f>
        <v/>
      </c>
      <c r="AX12" s="1" t="s">
        <v>33</v>
      </c>
      <c r="AY12" s="18" t="str">
        <f aca="false">IF(AND(LEN(AV12)&lt;&gt;0,LEN(AW12)&lt;&gt;0),((HOUR(AW12)*60)+MINUTE(AW12))-((HOUR(AV12)*60)+MINUTE(AV12)),"")</f>
        <v/>
      </c>
      <c r="AZ12" s="16" t="s">
        <v>28</v>
      </c>
      <c r="BA12" s="17" t="n">
        <v>0.749305555555556</v>
      </c>
      <c r="BB12" s="17" t="n">
        <v>0.753472222222222</v>
      </c>
      <c r="BC12" s="1" t="str">
        <f aca="false">"[""" &amp; AZ12 &amp; """, """ &amp; IF(BA12="","",TEXT(BA12,"h:mm")) &amp; """, """ &amp; IF(BB12="","",TEXT(BB12,"h:mm")) &amp; """],"</f>
        <v>["西郷", "17:59", "18:05"],</v>
      </c>
      <c r="BD12" s="18" t="n">
        <f aca="false">IF(AND(LEN(BA12)&lt;&gt;0,LEN(BB12)&lt;&gt;0),((HOUR(BB12)*60)+MINUTE(BB12))-((HOUR(BA12)*60)+MINUTE(BA12)),"")</f>
        <v>6</v>
      </c>
      <c r="BH12" s="1" t="s">
        <v>33</v>
      </c>
      <c r="BI12" s="18" t="str">
        <f aca="false">IF(AND(LEN(BF12)&lt;&gt;0,LEN(BG12)&lt;&gt;0),((HOUR(BG12)*60)+MINUTE(BG12))-((HOUR(BF12)*60)+MINUTE(BF12)),"")</f>
        <v/>
      </c>
      <c r="BM12" s="1" t="s">
        <v>33</v>
      </c>
      <c r="BN12" s="18" t="str">
        <f aca="false">IF(AND(LEN(BK12)&lt;&gt;0,LEN(BL12)&lt;&gt;0),((HOUR(BL12)*60)+MINUTE(BL12))-((HOUR(BK12)*60)+MINUTE(BK12)),"")</f>
        <v/>
      </c>
      <c r="BP12" s="20" t="s">
        <v>29</v>
      </c>
      <c r="BQ12" s="20" t="n">
        <v>0.732638888888889</v>
      </c>
      <c r="BR12" s="20" t="n">
        <v>0.736111111111111</v>
      </c>
      <c r="BS12" s="1" t="str">
        <f aca="false">"[""" &amp; BP12 &amp; """, """ &amp; IF(BQ12="","",TEXT(BQ12,"h:mm")) &amp; """, """ &amp; IF(BR12="","",TEXT(BR12,"h:mm")) &amp; """],"</f>
        <v>["別府", "17:35", "17:40"],</v>
      </c>
      <c r="BT12" s="18" t="n">
        <f aca="false">IF(AND(LEN(BQ12)&lt;&gt;0,LEN(BR12)&lt;&gt;0),((HOUR(BR12)*60)+MINUTE(BR12))-((HOUR(BQ12)*60)+MINUTE(BQ12)),"")</f>
        <v>5</v>
      </c>
      <c r="BY12" s="18" t="str">
        <f aca="false">IF(AND(LEN(BV12)&lt;&gt;0,LEN(BW12)&lt;&gt;0),((HOUR(BW12)*60)+MINUTE(BW12))-((HOUR(BV12)*60)+MINUTE(BV12)),"")</f>
        <v/>
      </c>
      <c r="BZ12" s="20" t="s">
        <v>29</v>
      </c>
      <c r="CA12" s="20" t="n">
        <v>0.440972222222222</v>
      </c>
      <c r="CB12" s="20" t="n">
        <v>0.445833333333333</v>
      </c>
      <c r="CC12" s="1" t="str">
        <f aca="false">"[""" &amp; BZ12 &amp; """, """ &amp; IF(CA12="","",TEXT(CA12,"h:mm")) &amp; """, """ &amp; IF(CB12="","",TEXT(CB12,"h:mm")) &amp; """],"</f>
        <v>["別府", "10:35", "10:42"],</v>
      </c>
      <c r="CD12" s="18" t="n">
        <f aca="false">IF(AND(LEN(CA12)&lt;&gt;0,LEN(CB12)&lt;&gt;0),((HOUR(CB12)*60)+MINUTE(CB12))-((HOUR(CA12)*60)+MINUTE(CA12)),"")</f>
        <v>7</v>
      </c>
      <c r="CF12" s="21" t="s">
        <v>31</v>
      </c>
      <c r="CG12" s="22" t="n">
        <v>0.520833333333333</v>
      </c>
      <c r="CH12" s="22" t="n">
        <v>0.524305555555556</v>
      </c>
      <c r="CI12" s="1" t="str">
        <f aca="false">"[""" &amp; CF12 &amp; """, """ &amp; IF(CG12="","",TEXT(CG12,"h:mm")) &amp; """, """ &amp; IF(CH12="","",TEXT(CH12,"h:mm")) &amp; """],"</f>
        <v>["来居", "12:30", "12:35"],</v>
      </c>
      <c r="CJ12" s="18" t="n">
        <f aca="false">IF(AND(LEN(CG12)&lt;&gt;0,LEN(CH12)&lt;&gt;0),((HOUR(CH12)*60)+MINUTE(CH12))-((HOUR(CG12)*60)+MINUTE(CG12)),"")</f>
        <v>5</v>
      </c>
      <c r="CK12" s="20" t="s">
        <v>29</v>
      </c>
      <c r="CL12" s="20" t="n">
        <v>0.385416666666667</v>
      </c>
      <c r="CM12" s="20" t="n">
        <v>0.386805555555556</v>
      </c>
      <c r="CN12" s="1" t="str">
        <f aca="false">"[""" &amp; CK12 &amp; """, """ &amp; IF(CL12="","",TEXT(CL12,"h:mm")) &amp; """, """ &amp; IF(CM12="","",TEXT(CM12,"h:mm")) &amp; """],"</f>
        <v>["別府", "9:15", "9:17"],</v>
      </c>
      <c r="CO12" s="18" t="n">
        <f aca="false">IF(AND(LEN(CL12)&lt;&gt;0,LEN(CM12)&lt;&gt;0),((HOUR(CM12)*60)+MINUTE(CM12))-((HOUR(CL12)*60)+MINUTE(CL12)),"")</f>
        <v>2</v>
      </c>
      <c r="CP12" s="20" t="s">
        <v>29</v>
      </c>
      <c r="CQ12" s="20" t="n">
        <v>0.385416666666667</v>
      </c>
      <c r="CR12" s="20" t="n">
        <v>0.386805555555556</v>
      </c>
      <c r="CS12" s="1" t="str">
        <f aca="false">"[""" &amp; CP12 &amp; """, """ &amp; IF(CQ12="","",TEXT(CQ12,"h:mm")) &amp; """, """ &amp; IF(CR12="","",TEXT(CR12,"h:mm")) &amp; """],"</f>
        <v>["別府", "9:15", "9:17"],</v>
      </c>
      <c r="CT12" s="18" t="n">
        <f aca="false">IF(AND(LEN(CQ12)&lt;&gt;0,LEN(CR12)&lt;&gt;0),((HOUR(CR12)*60)+MINUTE(CR12))-((HOUR(CQ12)*60)+MINUTE(CQ12)),"")</f>
        <v>2</v>
      </c>
      <c r="CU12" s="19" t="s">
        <v>30</v>
      </c>
      <c r="CV12" s="19" t="n">
        <v>0.557638888888889</v>
      </c>
      <c r="CW12" s="19" t="n">
        <v>0.559027777777778</v>
      </c>
      <c r="CX12" s="1" t="str">
        <f aca="false">"[""" &amp; CU12 &amp; """, """ &amp; IF(CV12="","",TEXT(CV12,"h:mm")) &amp; """, """ &amp; IF(CW12="","",TEXT(CW12,"h:mm")) &amp; """],"</f>
        <v>["菱浦", "13:23", "13:25"],</v>
      </c>
      <c r="CY12" s="18" t="n">
        <f aca="false">IF(AND(LEN(CV12)&lt;&gt;0,LEN(CW12)&lt;&gt;0),((HOUR(CW12)*60)+MINUTE(CW12))-((HOUR(CV12)*60)+MINUTE(CV12)),"")</f>
        <v>2</v>
      </c>
      <c r="CZ12" s="20" t="s">
        <v>29</v>
      </c>
      <c r="DA12" s="20" t="n">
        <v>0.456944444444444</v>
      </c>
      <c r="DB12" s="20" t="n">
        <v>0.506944444444444</v>
      </c>
      <c r="DC12" s="1" t="str">
        <f aca="false">"[""" &amp; CZ12 &amp; """, """ &amp; IF(DA12="","",TEXT(DA12,"h:mm")) &amp; """, """ &amp; IF(DB12="","",TEXT(DB12,"h:mm")) &amp; """],"</f>
        <v>["別府", "10:58", "12:10"],</v>
      </c>
      <c r="DD12" s="18" t="n">
        <f aca="false">IF(AND(LEN(DA12)&lt;&gt;0,LEN(DB12)&lt;&gt;0),((HOUR(DB12)*60)+MINUTE(DB12))-((HOUR(DA12)*60)+MINUTE(DA12)),"")</f>
        <v>72</v>
      </c>
      <c r="DE12" s="20" t="s">
        <v>29</v>
      </c>
      <c r="DF12" s="20" t="n">
        <v>0.456944444444444</v>
      </c>
      <c r="DG12" s="20" t="n">
        <v>0.506944444444444</v>
      </c>
      <c r="DH12" s="1" t="str">
        <f aca="false">"[""" &amp; DE12 &amp; """, """ &amp; IF(DF12="","",TEXT(DF12,"h:mm")) &amp; """, """ &amp; IF(DG12="","",TEXT(DG12,"h:mm")) &amp; """],"</f>
        <v>["別府", "10:58", "12:10"],</v>
      </c>
      <c r="DI12" s="18" t="n">
        <f aca="false">IF(AND(LEN(DF12)&lt;&gt;0,LEN(DG12)&lt;&gt;0),((HOUR(DG12)*60)+MINUTE(DG12))-((HOUR(DF12)*60)+MINUTE(DF12)),"")</f>
        <v>72</v>
      </c>
    </row>
    <row r="13" customFormat="false" ht="18" hidden="false" customHeight="false" outlineLevel="0" collapsed="false">
      <c r="E13" s="18"/>
      <c r="I13" s="1" t="s">
        <v>33</v>
      </c>
      <c r="J13" s="18" t="str">
        <f aca="false">IF(AND(LEN(G13)&lt;&gt;0,LEN(H13)&lt;&gt;0),((HOUR(H13)*60)+MINUTE(H13))-((HOUR(G13)*60)+MINUTE(G13)),"")</f>
        <v/>
      </c>
      <c r="O13" s="18"/>
      <c r="T13" s="18"/>
      <c r="Y13" s="18"/>
      <c r="AD13" s="18"/>
      <c r="AH13" s="1" t="s">
        <v>33</v>
      </c>
      <c r="AI13" s="18" t="str">
        <f aca="false">IF(AND(LEN(AF13)&lt;&gt;0,LEN(AG13)&lt;&gt;0),((HOUR(AG13)*60)+MINUTE(AG13))-((HOUR(AF13)*60)+MINUTE(AF13)),"")</f>
        <v/>
      </c>
      <c r="AN13" s="18" t="str">
        <f aca="false">IF(AND(LEN(AK13)&lt;&gt;0,LEN(AL13)&lt;&gt;0),((HOUR(AL13)*60)+MINUTE(AL13))-((HOUR(AK13)*60)+MINUTE(AK13)),"")</f>
        <v/>
      </c>
      <c r="AT13" s="18" t="str">
        <f aca="false">IF(AND(LEN(AQ13)&lt;&gt;0,LEN(AR13)&lt;&gt;0),((HOUR(AR13)*60)+MINUTE(AR13))-((HOUR(AQ13)*60)+MINUTE(AQ13)),"")</f>
        <v/>
      </c>
      <c r="AY13" s="18" t="str">
        <f aca="false">IF(AND(LEN(AV13)&lt;&gt;0,LEN(AW13)&lt;&gt;0),((HOUR(AW13)*60)+MINUTE(AW13))-((HOUR(AV13)*60)+MINUTE(AV13)),"")</f>
        <v/>
      </c>
      <c r="AZ13" s="16" t="s">
        <v>30</v>
      </c>
      <c r="BA13" s="17" t="n">
        <v>0.775</v>
      </c>
      <c r="BB13" s="16" t="n">
        <v>0.777083333333333</v>
      </c>
      <c r="BC13" s="1" t="str">
        <f aca="false">"[""" &amp; AZ13 &amp; """, """ &amp; IF(BA13="","",TEXT(BA13,"h:mm")) &amp; """, """ &amp; IF(BB13="","",TEXT(BB13,"h:mm")) &amp; """],"</f>
        <v>["菱浦", "18:36", "18:39"],</v>
      </c>
      <c r="BD13" s="18" t="n">
        <f aca="false">IF(AND(LEN(BA13)&lt;&gt;0,LEN(BB13)&lt;&gt;0),((HOUR(BB13)*60)+MINUTE(BB13))-((HOUR(BA13)*60)+MINUTE(BA13)),"")</f>
        <v>3</v>
      </c>
      <c r="BI13" s="18" t="str">
        <f aca="false">IF(AND(LEN(BF13)&lt;&gt;0,LEN(BG13)&lt;&gt;0),((HOUR(BG13)*60)+MINUTE(BG13))-((HOUR(BF13)*60)+MINUTE(BF13)),"")</f>
        <v/>
      </c>
      <c r="BN13" s="18" t="str">
        <f aca="false">IF(AND(LEN(BK13)&lt;&gt;0,LEN(BL13)&lt;&gt;0),((HOUR(BL13)*60)+MINUTE(BL13))-((HOUR(BK13)*60)+MINUTE(BK13)),"")</f>
        <v/>
      </c>
      <c r="BP13" s="19" t="s">
        <v>30</v>
      </c>
      <c r="BQ13" s="19" t="n">
        <v>0.744444444444445</v>
      </c>
      <c r="BS13" s="1" t="str">
        <f aca="false">"[""" &amp; BP13 &amp; """, """ &amp; IF(BQ13="","",TEXT(BQ13,"h:mm")) &amp; """, """ &amp; IF(BR13="","",TEXT(BR13,"h:mm")) &amp; """]"</f>
        <v>["菱浦", "17:52", ""]</v>
      </c>
      <c r="BT13" s="18" t="str">
        <f aca="false">IF(AND(LEN(BQ13)&lt;&gt;0,LEN(BR13)&lt;&gt;0),((HOUR(BR13)*60)+MINUTE(BR13))-((HOUR(BQ13)*60)+MINUTE(BQ13)),"")</f>
        <v/>
      </c>
      <c r="BY13" s="18" t="str">
        <f aca="false">IF(AND(LEN(BV13)&lt;&gt;0,LEN(BW13)&lt;&gt;0),((HOUR(BW13)*60)+MINUTE(BW13))-((HOUR(BV13)*60)+MINUTE(BV13)),"")</f>
        <v/>
      </c>
      <c r="BZ13" s="19" t="s">
        <v>30</v>
      </c>
      <c r="CA13" s="19" t="n">
        <v>0.454166666666667</v>
      </c>
      <c r="CB13" s="19" t="n">
        <v>0.510416666666667</v>
      </c>
      <c r="CC13" s="1" t="str">
        <f aca="false">"[""" &amp; BZ13 &amp; """, """ &amp; IF(CA13="","",TEXT(CA13,"h:mm")) &amp; """, """ &amp; IF(CB13="","",TEXT(CB13,"h:mm")) &amp; """],"</f>
        <v>["菱浦", "10:54", "12:15"],</v>
      </c>
      <c r="CD13" s="18" t="n">
        <f aca="false">IF(AND(LEN(CA13)&lt;&gt;0,LEN(CB13)&lt;&gt;0),((HOUR(CB13)*60)+MINUTE(CB13))-((HOUR(CA13)*60)+MINUTE(CA13)),"")</f>
        <v>81</v>
      </c>
      <c r="CF13" s="19" t="s">
        <v>30</v>
      </c>
      <c r="CG13" s="19" t="n">
        <v>0.538194444444444</v>
      </c>
      <c r="CH13" s="19" t="n">
        <v>0.539583333333333</v>
      </c>
      <c r="CI13" s="1" t="str">
        <f aca="false">"[""" &amp; CF13 &amp; """, """ &amp; IF(CG13="","",TEXT(CG13,"h:mm")) &amp; """, """ &amp; IF(CH13="","",TEXT(CH13,"h:mm")) &amp; """],"</f>
        <v>["菱浦", "12:55", "12:57"],</v>
      </c>
      <c r="CJ13" s="18" t="n">
        <f aca="false">IF(AND(LEN(CG13)&lt;&gt;0,LEN(CH13)&lt;&gt;0),((HOUR(CH13)*60)+MINUTE(CH13))-((HOUR(CG13)*60)+MINUTE(CG13)),"")</f>
        <v>2</v>
      </c>
      <c r="CK13" s="19" t="s">
        <v>30</v>
      </c>
      <c r="CL13" s="19" t="n">
        <v>0.391666666666667</v>
      </c>
      <c r="CM13" s="19" t="n">
        <v>0.393055555555556</v>
      </c>
      <c r="CN13" s="1" t="str">
        <f aca="false">"[""" &amp; CK13 &amp; """, """ &amp; IF(CL13="","",TEXT(CL13,"h:mm")) &amp; """, """ &amp; IF(CM13="","",TEXT(CM13,"h:mm")) &amp; """],"</f>
        <v>["菱浦", "9:24", "9:26"],</v>
      </c>
      <c r="CO13" s="18" t="n">
        <f aca="false">IF(AND(LEN(CL13)&lt;&gt;0,LEN(CM13)&lt;&gt;0),((HOUR(CM13)*60)+MINUTE(CM13))-((HOUR(CL13)*60)+MINUTE(CL13)),"")</f>
        <v>2</v>
      </c>
      <c r="CP13" s="19" t="s">
        <v>30</v>
      </c>
      <c r="CQ13" s="19" t="n">
        <v>0.391666666666667</v>
      </c>
      <c r="CR13" s="19" t="n">
        <v>0.393055555555556</v>
      </c>
      <c r="CS13" s="1" t="str">
        <f aca="false">"[""" &amp; CP13 &amp; """, """ &amp; IF(CQ13="","",TEXT(CQ13,"h:mm")) &amp; """, """ &amp; IF(CR13="","",TEXT(CR13,"h:mm")) &amp; """],"</f>
        <v>["菱浦", "9:24", "9:26"],</v>
      </c>
      <c r="CT13" s="18" t="n">
        <f aca="false">IF(AND(LEN(CQ13)&lt;&gt;0,LEN(CR13)&lt;&gt;0),((HOUR(CR13)*60)+MINUTE(CR13))-((HOUR(CQ13)*60)+MINUTE(CQ13)),"")</f>
        <v>2</v>
      </c>
      <c r="CU13" s="20" t="s">
        <v>29</v>
      </c>
      <c r="CV13" s="20" t="n">
        <v>0.564583333333333</v>
      </c>
      <c r="CW13" s="20" t="n">
        <v>0.71875</v>
      </c>
      <c r="CX13" s="1" t="str">
        <f aca="false">"[""" &amp; CU13 &amp; """, """ &amp; IF(CV13="","",TEXT(CV13,"h:mm")) &amp; """, """ &amp; IF(CW13="","",TEXT(CW13,"h:mm")) &amp; """],"</f>
        <v>["別府", "13:33", "17:15"],</v>
      </c>
      <c r="CY13" s="18" t="n">
        <f aca="false">IF(AND(LEN(CV13)&lt;&gt;0,LEN(CW13)&lt;&gt;0),((HOUR(CW13)*60)+MINUTE(CW13))-((HOUR(CV13)*60)+MINUTE(CV13)),"")</f>
        <v>222</v>
      </c>
      <c r="CZ13" s="19" t="s">
        <v>30</v>
      </c>
      <c r="DA13" s="19" t="n">
        <v>0.5125</v>
      </c>
      <c r="DB13" s="19" t="n">
        <v>0.520833333333333</v>
      </c>
      <c r="DC13" s="1" t="str">
        <f aca="false">"[""" &amp; CZ13 &amp; """, """ &amp; IF(DA13="","",TEXT(DA13,"h:mm")) &amp; """, """ &amp; IF(DB13="","",TEXT(DB13,"h:mm")) &amp; """],"</f>
        <v>["菱浦", "12:18", "12:30"],</v>
      </c>
      <c r="DD13" s="18" t="n">
        <f aca="false">IF(AND(LEN(DA13)&lt;&gt;0,LEN(DB13)&lt;&gt;0),((HOUR(DB13)*60)+MINUTE(DB13))-((HOUR(DA13)*60)+MINUTE(DA13)),"")</f>
        <v>12</v>
      </c>
      <c r="DE13" s="19" t="s">
        <v>30</v>
      </c>
      <c r="DF13" s="19" t="n">
        <v>0.5125</v>
      </c>
      <c r="DG13" s="19" t="n">
        <v>0.520833333333333</v>
      </c>
      <c r="DH13" s="1" t="str">
        <f aca="false">"[""" &amp; DE13 &amp; """, """ &amp; IF(DF13="","",TEXT(DF13,"h:mm")) &amp; """, """ &amp; IF(DG13="","",TEXT(DG13,"h:mm")) &amp; """],"</f>
        <v>["菱浦", "12:18", "12:30"],</v>
      </c>
      <c r="DI13" s="18" t="n">
        <f aca="false">IF(AND(LEN(DF13)&lt;&gt;0,LEN(DG13)&lt;&gt;0),((HOUR(DG13)*60)+MINUTE(DG13))-((HOUR(DF13)*60)+MINUTE(DF13)),"")</f>
        <v>12</v>
      </c>
    </row>
    <row r="14" customFormat="false" ht="18" hidden="false" customHeight="false" outlineLevel="0" collapsed="false">
      <c r="E14" s="18"/>
      <c r="J14" s="18"/>
      <c r="O14" s="18"/>
      <c r="T14" s="18"/>
      <c r="Y14" s="18"/>
      <c r="AD14" s="18"/>
      <c r="AI14" s="18" t="str">
        <f aca="false">IF(AND(LEN(AF14)&lt;&gt;0,LEN(AG14)&lt;&gt;0),((HOUR(AG14)*60)+MINUTE(AG14))-((HOUR(AF14)*60)+MINUTE(AF14)),"")</f>
        <v/>
      </c>
      <c r="AN14" s="18" t="str">
        <f aca="false">IF(AND(LEN(AK14)&lt;&gt;0,LEN(AL14)&lt;&gt;0),((HOUR(AL14)*60)+MINUTE(AL14))-((HOUR(AK14)*60)+MINUTE(AK14)),"")</f>
        <v/>
      </c>
      <c r="AT14" s="18" t="str">
        <f aca="false">IF(AND(LEN(AQ14)&lt;&gt;0,LEN(AR14)&lt;&gt;0),((HOUR(AR14)*60)+MINUTE(AR14))-((HOUR(AQ14)*60)+MINUTE(AQ14)),"")</f>
        <v/>
      </c>
      <c r="AY14" s="18" t="str">
        <f aca="false">IF(AND(LEN(AV14)&lt;&gt;0,LEN(AW14)&lt;&gt;0),((HOUR(AW14)*60)+MINUTE(AW14))-((HOUR(AV14)*60)+MINUTE(AV14)),"")</f>
        <v/>
      </c>
      <c r="AZ14" s="16" t="s">
        <v>29</v>
      </c>
      <c r="BA14" s="16" t="n">
        <v>0.784027777777778</v>
      </c>
      <c r="BB14" s="16"/>
      <c r="BC14" s="1" t="str">
        <f aca="false">"[""" &amp; AZ14 &amp; """, """ &amp; IF(BA14="","",TEXT(BA14,"h:mm")) &amp; """, """ &amp; IF(BB14="","",TEXT(BB14,"h:mm")) &amp; """]"</f>
        <v>["別府", "18:49", ""]</v>
      </c>
      <c r="BD14" s="18" t="str">
        <f aca="false">IF(AND(LEN(BA14)&lt;&gt;0,LEN(BB14)&lt;&gt;0),((HOUR(BB14)*60)+MINUTE(BB14))-((HOUR(BA14)*60)+MINUTE(BA14)),"")</f>
        <v/>
      </c>
      <c r="BI14" s="18" t="str">
        <f aca="false">IF(AND(LEN(BF14)&lt;&gt;0,LEN(BG14)&lt;&gt;0),((HOUR(BG14)*60)+MINUTE(BG14))-((HOUR(BF14)*60)+MINUTE(BF14)),"")</f>
        <v/>
      </c>
      <c r="BN14" s="18" t="str">
        <f aca="false">IF(AND(LEN(BK14)&lt;&gt;0,LEN(BL14)&lt;&gt;0),((HOUR(BL14)*60)+MINUTE(BL14))-((HOUR(BK14)*60)+MINUTE(BK14)),"")</f>
        <v/>
      </c>
      <c r="BS14" s="1" t="s">
        <v>33</v>
      </c>
      <c r="BT14" s="18" t="str">
        <f aca="false">IF(AND(LEN(BQ14)&lt;&gt;0,LEN(BR14)&lt;&gt;0),((HOUR(BR14)*60)+MINUTE(BR14))-((HOUR(BQ14)*60)+MINUTE(BQ14)),"")</f>
        <v/>
      </c>
      <c r="BY14" s="18" t="str">
        <f aca="false">IF(AND(LEN(BV14)&lt;&gt;0,LEN(BW14)&lt;&gt;0),((HOUR(BW14)*60)+MINUTE(BW14))-((HOUR(BV14)*60)+MINUTE(BV14)),"")</f>
        <v/>
      </c>
      <c r="BZ14" s="20" t="s">
        <v>29</v>
      </c>
      <c r="CA14" s="20" t="n">
        <v>0.520833333333333</v>
      </c>
      <c r="CB14" s="20" t="n">
        <v>0.524305555555556</v>
      </c>
      <c r="CC14" s="1" t="str">
        <f aca="false">"[""" &amp; BZ14 &amp; """, """ &amp; IF(CA14="","",TEXT(CA14,"h:mm")) &amp; """, """ &amp; IF(CB14="","",TEXT(CB14,"h:mm")) &amp; """],"</f>
        <v>["別府", "12:30", "12:35"],</v>
      </c>
      <c r="CD14" s="18" t="n">
        <f aca="false">IF(AND(LEN(CA14)&lt;&gt;0,LEN(CB14)&lt;&gt;0),((HOUR(CB14)*60)+MINUTE(CB14))-((HOUR(CA14)*60)+MINUTE(CA14)),"")</f>
        <v>5</v>
      </c>
      <c r="CF14" s="20" t="s">
        <v>29</v>
      </c>
      <c r="CG14" s="20" t="n">
        <v>0.545138888888889</v>
      </c>
      <c r="CH14" s="20" t="n">
        <v>0.552083333333333</v>
      </c>
      <c r="CI14" s="1" t="str">
        <f aca="false">"[""" &amp; CF14 &amp; """, """ &amp; IF(CG14="","",TEXT(CG14,"h:mm")) &amp; """, """ &amp; IF(CH14="","",TEXT(CH14,"h:mm")) &amp; """],"</f>
        <v>["別府", "13:05", "13:15"],</v>
      </c>
      <c r="CJ14" s="18" t="n">
        <f aca="false">IF(AND(LEN(CG14)&lt;&gt;0,LEN(CH14)&lt;&gt;0),((HOUR(CH14)*60)+MINUTE(CH14))-((HOUR(CG14)*60)+MINUTE(CG14)),"")</f>
        <v>10</v>
      </c>
      <c r="CK14" s="20" t="s">
        <v>29</v>
      </c>
      <c r="CL14" s="20" t="n">
        <v>0.397916666666667</v>
      </c>
      <c r="CM14" s="20" t="n">
        <v>0.418055555555556</v>
      </c>
      <c r="CN14" s="1" t="str">
        <f aca="false">"[""" &amp; CK14 &amp; """, """ &amp; IF(CL14="","",TEXT(CL14,"h:mm")) &amp; """, """ &amp; IF(CM14="","",TEXT(CM14,"h:mm")) &amp; """],"</f>
        <v>["別府", "9:33", "10:02"],</v>
      </c>
      <c r="CO14" s="18" t="n">
        <f aca="false">IF(AND(LEN(CL14)&lt;&gt;0,LEN(CM14)&lt;&gt;0),((HOUR(CM14)*60)+MINUTE(CM14))-((HOUR(CL14)*60)+MINUTE(CL14)),"")</f>
        <v>29</v>
      </c>
      <c r="CP14" s="20" t="s">
        <v>29</v>
      </c>
      <c r="CQ14" s="20" t="n">
        <v>0.397916666666667</v>
      </c>
      <c r="CR14" s="20" t="n">
        <v>0.418055555555556</v>
      </c>
      <c r="CS14" s="1" t="str">
        <f aca="false">"[""" &amp; CP14 &amp; """, """ &amp; IF(CQ14="","",TEXT(CQ14,"h:mm")) &amp; """, """ &amp; IF(CR14="","",TEXT(CR14,"h:mm")) &amp; """],"</f>
        <v>["別府", "9:33", "10:02"],</v>
      </c>
      <c r="CT14" s="18" t="n">
        <f aca="false">IF(AND(LEN(CQ14)&lt;&gt;0,LEN(CR14)&lt;&gt;0),((HOUR(CR14)*60)+MINUTE(CR14))-((HOUR(CQ14)*60)+MINUTE(CQ14)),"")</f>
        <v>29</v>
      </c>
      <c r="CU14" s="19" t="s">
        <v>30</v>
      </c>
      <c r="CV14" s="19" t="n">
        <v>0.724305555555556</v>
      </c>
      <c r="CW14" s="19" t="n">
        <v>0.75625</v>
      </c>
      <c r="CX14" s="1" t="str">
        <f aca="false">"[""" &amp; CU14 &amp; """, """ &amp; IF(CV14="","",TEXT(CV14,"h:mm")) &amp; """, """ &amp; IF(CW14="","",TEXT(CW14,"h:mm")) &amp; """],"</f>
        <v>["菱浦", "17:23", "18:09"],</v>
      </c>
      <c r="CY14" s="18" t="n">
        <f aca="false">IF(AND(LEN(CV14)&lt;&gt;0,LEN(CW14)&lt;&gt;0),((HOUR(CW14)*60)+MINUTE(CW14))-((HOUR(CV14)*60)+MINUTE(CV14)),"")</f>
        <v>46</v>
      </c>
      <c r="CZ14" s="20" t="s">
        <v>29</v>
      </c>
      <c r="DA14" s="20" t="n">
        <v>0.525694444444445</v>
      </c>
      <c r="DB14" s="20" t="n">
        <v>0.534722222222222</v>
      </c>
      <c r="DC14" s="1" t="str">
        <f aca="false">"[""" &amp; CZ14 &amp; """, """ &amp; IF(DA14="","",TEXT(DA14,"h:mm")) &amp; """, """ &amp; IF(DB14="","",TEXT(DB14,"h:mm")) &amp; """],"</f>
        <v>["別府", "12:37", "12:50"],</v>
      </c>
      <c r="DD14" s="18" t="n">
        <f aca="false">IF(AND(LEN(DA14)&lt;&gt;0,LEN(DB14)&lt;&gt;0),((HOUR(DB14)*60)+MINUTE(DB14))-((HOUR(DA14)*60)+MINUTE(DA14)),"")</f>
        <v>13</v>
      </c>
      <c r="DE14" s="20" t="s">
        <v>29</v>
      </c>
      <c r="DF14" s="20" t="n">
        <v>0.525694444444445</v>
      </c>
      <c r="DG14" s="20" t="n">
        <v>0.534722222222222</v>
      </c>
      <c r="DH14" s="1" t="str">
        <f aca="false">"[""" &amp; DE14 &amp; """, """ &amp; IF(DF14="","",TEXT(DF14,"h:mm")) &amp; """, """ &amp; IF(DG14="","",TEXT(DG14,"h:mm")) &amp; """],"</f>
        <v>["別府", "12:37", "12:50"],</v>
      </c>
      <c r="DI14" s="18" t="n">
        <f aca="false">IF(AND(LEN(DF14)&lt;&gt;0,LEN(DG14)&lt;&gt;0),((HOUR(DG14)*60)+MINUTE(DG14))-((HOUR(DF14)*60)+MINUTE(DF14)),"")</f>
        <v>13</v>
      </c>
    </row>
    <row r="15" customFormat="false" ht="18" hidden="false" customHeight="false" outlineLevel="0" collapsed="false">
      <c r="E15" s="18"/>
      <c r="J15" s="18"/>
      <c r="O15" s="18"/>
      <c r="T15" s="18"/>
      <c r="Y15" s="18"/>
      <c r="AD15" s="18"/>
      <c r="AI15" s="18" t="str">
        <f aca="false">IF(AND(LEN(AF15)&lt;&gt;0,LEN(AG15)&lt;&gt;0),((HOUR(AG15)*60)+MINUTE(AG15))-((HOUR(AF15)*60)+MINUTE(AF15)),"")</f>
        <v/>
      </c>
      <c r="AN15" s="18" t="str">
        <f aca="false">IF(AND(LEN(AK15)&lt;&gt;0,LEN(AL15)&lt;&gt;0),((HOUR(AL15)*60)+MINUTE(AL15))-((HOUR(AK15)*60)+MINUTE(AK15)),"")</f>
        <v/>
      </c>
      <c r="AO15" s="26"/>
      <c r="AT15" s="18" t="str">
        <f aca="false">IF(AND(LEN(AQ15)&lt;&gt;0,LEN(AR15)&lt;&gt;0),((HOUR(AR15)*60)+MINUTE(AR15))-((HOUR(AQ15)*60)+MINUTE(AQ15)),"")</f>
        <v/>
      </c>
      <c r="AY15" s="18" t="str">
        <f aca="false">IF(AND(LEN(AV15)&lt;&gt;0,LEN(AW15)&lt;&gt;0),((HOUR(AW15)*60)+MINUTE(AW15))-((HOUR(AV15)*60)+MINUTE(AV15)),"")</f>
        <v/>
      </c>
      <c r="BC15" s="1" t="s">
        <v>33</v>
      </c>
      <c r="BD15" s="18" t="str">
        <f aca="false">IF(AND(LEN(BA15)&lt;&gt;0,LEN(BB15)&lt;&gt;0),((HOUR(BB15)*60)+MINUTE(BB15))-((HOUR(BA15)*60)+MINUTE(BA15)),"")</f>
        <v/>
      </c>
      <c r="BI15" s="18" t="str">
        <f aca="false">IF(AND(LEN(BF15)&lt;&gt;0,LEN(BG15)&lt;&gt;0),((HOUR(BG15)*60)+MINUTE(BG15))-((HOUR(BF15)*60)+MINUTE(BF15)),"")</f>
        <v/>
      </c>
      <c r="BN15" s="18" t="str">
        <f aca="false">IF(AND(LEN(BK15)&lt;&gt;0,LEN(BL15)&lt;&gt;0),((HOUR(BL15)*60)+MINUTE(BL15))-((HOUR(BK15)*60)+MINUTE(BK15)),"")</f>
        <v/>
      </c>
      <c r="BP15" s="27"/>
      <c r="BQ15" s="27"/>
      <c r="BR15" s="27"/>
      <c r="BT15" s="18" t="str">
        <f aca="false">IF(AND(LEN(BQ15)&lt;&gt;0,LEN(BR15)&lt;&gt;0),((HOUR(BR15)*60)+MINUTE(BR15))-((HOUR(BQ15)*60)+MINUTE(BQ15)),"")</f>
        <v/>
      </c>
      <c r="BY15" s="18" t="str">
        <f aca="false">IF(AND(LEN(BV15)&lt;&gt;0,LEN(BW15)&lt;&gt;0),((HOUR(BW15)*60)+MINUTE(BW15))-((HOUR(BV15)*60)+MINUTE(BV15)),"")</f>
        <v/>
      </c>
      <c r="BZ15" s="19" t="s">
        <v>30</v>
      </c>
      <c r="CA15" s="19" t="n">
        <v>0.532638888888889</v>
      </c>
      <c r="CB15" s="19" t="n">
        <v>0.538194444444444</v>
      </c>
      <c r="CC15" s="1" t="str">
        <f aca="false">"[""" &amp; BZ15 &amp; """, """ &amp; IF(CA15="","",TEXT(CA15,"h:mm")) &amp; """, """ &amp; IF(CB15="","",TEXT(CB15,"h:mm")) &amp; """],"</f>
        <v>["菱浦", "12:47", "12:55"],</v>
      </c>
      <c r="CD15" s="18" t="n">
        <f aca="false">IF(AND(LEN(CA15)&lt;&gt;0,LEN(CB15)&lt;&gt;0),((HOUR(CB15)*60)+MINUTE(CB15))-((HOUR(CA15)*60)+MINUTE(CA15)),"")</f>
        <v>8</v>
      </c>
      <c r="CE15" s="28"/>
      <c r="CF15" s="19" t="s">
        <v>30</v>
      </c>
      <c r="CG15" s="19" t="n">
        <v>0.557638888888889</v>
      </c>
      <c r="CH15" s="19" t="n">
        <v>0.559027777777778</v>
      </c>
      <c r="CI15" s="1" t="str">
        <f aca="false">"[""" &amp; CF15 &amp; """, """ &amp; IF(CG15="","",TEXT(CG15,"h:mm")) &amp; """, """ &amp; IF(CH15="","",TEXT(CH15,"h:mm")) &amp; """],"</f>
        <v>["菱浦", "13:23", "13:25"],</v>
      </c>
      <c r="CJ15" s="18" t="n">
        <f aca="false">IF(AND(LEN(CG15)&lt;&gt;0,LEN(CH15)&lt;&gt;0),((HOUR(CH15)*60)+MINUTE(CH15))-((HOUR(CG15)*60)+MINUTE(CG15)),"")</f>
        <v>2</v>
      </c>
      <c r="CK15" s="19" t="s">
        <v>30</v>
      </c>
      <c r="CL15" s="19" t="n">
        <v>0.422916666666667</v>
      </c>
      <c r="CM15" s="19" t="n">
        <v>0.424305555555556</v>
      </c>
      <c r="CN15" s="1" t="str">
        <f aca="false">"[""" &amp; CK15 &amp; """, """ &amp; IF(CL15="","",TEXT(CL15,"h:mm")) &amp; """, """ &amp; IF(CM15="","",TEXT(CM15,"h:mm")) &amp; """],"</f>
        <v>["菱浦", "10:09", "10:11"],</v>
      </c>
      <c r="CO15" s="18" t="n">
        <f aca="false">IF(AND(LEN(CL15)&lt;&gt;0,LEN(CM15)&lt;&gt;0),((HOUR(CM15)*60)+MINUTE(CM15))-((HOUR(CL15)*60)+MINUTE(CL15)),"")</f>
        <v>2</v>
      </c>
      <c r="CP15" s="19" t="s">
        <v>30</v>
      </c>
      <c r="CQ15" s="19" t="n">
        <v>0.422916666666667</v>
      </c>
      <c r="CR15" s="19" t="n">
        <v>0.424305555555556</v>
      </c>
      <c r="CS15" s="1" t="str">
        <f aca="false">"[""" &amp; CP15 &amp; """, """ &amp; IF(CQ15="","",TEXT(CQ15,"h:mm")) &amp; """, """ &amp; IF(CR15="","",TEXT(CR15,"h:mm")) &amp; """],"</f>
        <v>["菱浦", "10:09", "10:11"],</v>
      </c>
      <c r="CT15" s="18" t="n">
        <f aca="false">IF(AND(LEN(CQ15)&lt;&gt;0,LEN(CR15)&lt;&gt;0),((HOUR(CR15)*60)+MINUTE(CR15))-((HOUR(CQ15)*60)+MINUTE(CQ15)),"")</f>
        <v>2</v>
      </c>
      <c r="CU15" s="20" t="s">
        <v>29</v>
      </c>
      <c r="CV15" s="20" t="n">
        <v>0.761805555555556</v>
      </c>
      <c r="CX15" s="1" t="str">
        <f aca="false">"[""" &amp; CU15 &amp; """, """ &amp; IF(CV15="","",TEXT(CV15,"h:mm")) &amp; """, """ &amp; IF(CW15="","",TEXT(CW15,"h:mm")) &amp; """]"</f>
        <v>["別府", "18:17", ""]</v>
      </c>
      <c r="CY15" s="18" t="str">
        <f aca="false">IF(AND(LEN(CV15)&lt;&gt;0,LEN(CW15)&lt;&gt;0),((HOUR(CW15)*60)+MINUTE(CW15))-((HOUR(CV15)*60)+MINUTE(CV15)),"")</f>
        <v/>
      </c>
      <c r="CZ15" s="19" t="s">
        <v>30</v>
      </c>
      <c r="DA15" s="19" t="n">
        <v>0.540277777777778</v>
      </c>
      <c r="DB15" s="19" t="n">
        <v>0.55625</v>
      </c>
      <c r="DC15" s="1" t="str">
        <f aca="false">"[""" &amp; CZ15 &amp; """, """ &amp; IF(DA15="","",TEXT(DA15,"h:mm")) &amp; """, """ &amp; IF(DB15="","",TEXT(DB15,"h:mm")) &amp; """],"</f>
        <v>["菱浦", "12:58", "13:21"],</v>
      </c>
      <c r="DD15" s="18" t="n">
        <f aca="false">IF(AND(LEN(DA15)&lt;&gt;0,LEN(DB15)&lt;&gt;0),((HOUR(DB15)*60)+MINUTE(DB15))-((HOUR(DA15)*60)+MINUTE(DA15)),"")</f>
        <v>23</v>
      </c>
      <c r="DE15" s="19" t="s">
        <v>30</v>
      </c>
      <c r="DF15" s="19" t="n">
        <v>0.540277777777778</v>
      </c>
      <c r="DG15" s="19" t="n">
        <v>0.55625</v>
      </c>
      <c r="DH15" s="1" t="str">
        <f aca="false">"[""" &amp; DE15 &amp; """, """ &amp; IF(DF15="","",TEXT(DF15,"h:mm")) &amp; """, """ &amp; IF(DG15="","",TEXT(DG15,"h:mm")) &amp; """],"</f>
        <v>["菱浦", "12:58", "13:21"],</v>
      </c>
      <c r="DI15" s="18" t="n">
        <f aca="false">IF(AND(LEN(DF15)&lt;&gt;0,LEN(DG15)&lt;&gt;0),((HOUR(DG15)*60)+MINUTE(DG15))-((HOUR(DF15)*60)+MINUTE(DF15)),"")</f>
        <v>23</v>
      </c>
    </row>
    <row r="16" customFormat="false" ht="18" hidden="false" customHeight="false" outlineLevel="0" collapsed="false">
      <c r="E16" s="18"/>
      <c r="J16" s="18"/>
      <c r="O16" s="18"/>
      <c r="T16" s="18"/>
      <c r="Y16" s="18"/>
      <c r="AD16" s="18"/>
      <c r="AI16" s="18" t="str">
        <f aca="false">IF(AND(LEN(AF16)&lt;&gt;0,LEN(AG16)&lt;&gt;0),((HOUR(AG16)*60)+MINUTE(AG16))-((HOUR(AF16)*60)+MINUTE(AF16)),"")</f>
        <v/>
      </c>
      <c r="AN16" s="18" t="str">
        <f aca="false">IF(AND(LEN(AK16)&lt;&gt;0,LEN(AL16)&lt;&gt;0),((HOUR(AL16)*60)+MINUTE(AL16))-((HOUR(AK16)*60)+MINUTE(AK16)),"")</f>
        <v/>
      </c>
      <c r="AO16" s="26"/>
      <c r="AT16" s="18" t="str">
        <f aca="false">IF(AND(LEN(AQ16)&lt;&gt;0,LEN(AR16)&lt;&gt;0),((HOUR(AR16)*60)+MINUTE(AR16))-((HOUR(AQ16)*60)+MINUTE(AQ16)),"")</f>
        <v/>
      </c>
      <c r="AY16" s="18" t="str">
        <f aca="false">IF(AND(LEN(AV16)&lt;&gt;0,LEN(AW16)&lt;&gt;0),((HOUR(AW16)*60)+MINUTE(AW16))-((HOUR(AV16)*60)+MINUTE(AV16)),"")</f>
        <v/>
      </c>
      <c r="BD16" s="18" t="str">
        <f aca="false">IF(AND(LEN(BA16)&lt;&gt;0,LEN(BB16)&lt;&gt;0),((HOUR(BB16)*60)+MINUTE(BB16))-((HOUR(BA16)*60)+MINUTE(BA16)),"")</f>
        <v/>
      </c>
      <c r="BI16" s="18" t="str">
        <f aca="false">IF(AND(LEN(BF16)&lt;&gt;0,LEN(BG16)&lt;&gt;0),((HOUR(BG16)*60)+MINUTE(BG16))-((HOUR(BF16)*60)+MINUTE(BF16)),"")</f>
        <v/>
      </c>
      <c r="BN16" s="18" t="str">
        <f aca="false">IF(AND(LEN(BK16)&lt;&gt;0,LEN(BL16)&lt;&gt;0),((HOUR(BL16)*60)+MINUTE(BL16))-((HOUR(BK16)*60)+MINUTE(BK16)),"")</f>
        <v/>
      </c>
      <c r="BP16" s="27"/>
      <c r="BQ16" s="27"/>
      <c r="BR16" s="27"/>
      <c r="BT16" s="18" t="str">
        <f aca="false">IF(AND(LEN(BQ16)&lt;&gt;0,LEN(BR16)&lt;&gt;0),((HOUR(BR16)*60)+MINUTE(BR16))-((HOUR(BQ16)*60)+MINUTE(BQ16)),"")</f>
        <v/>
      </c>
      <c r="BY16" s="18" t="str">
        <f aca="false">IF(AND(LEN(BV16)&lt;&gt;0,LEN(BW16)&lt;&gt;0),((HOUR(BW16)*60)+MINUTE(BW16))-((HOUR(BV16)*60)+MINUTE(BV16)),"")</f>
        <v/>
      </c>
      <c r="BZ16" s="20" t="s">
        <v>29</v>
      </c>
      <c r="CA16" s="20" t="n">
        <v>0.548611111111111</v>
      </c>
      <c r="CB16" s="20" t="n">
        <v>0.555555555555556</v>
      </c>
      <c r="CC16" s="1" t="str">
        <f aca="false">"[""" &amp; BZ16 &amp; """, """ &amp; IF(CA16="","",TEXT(CA16,"h:mm")) &amp; """, """ &amp; IF(CB16="","",TEXT(CB16,"h:mm")) &amp; """],"</f>
        <v>["別府", "13:10", "13:20"],</v>
      </c>
      <c r="CD16" s="18" t="n">
        <f aca="false">IF(AND(LEN(CA16)&lt;&gt;0,LEN(CB16)&lt;&gt;0),((HOUR(CB16)*60)+MINUTE(CB16))-((HOUR(CA16)*60)+MINUTE(CA16)),"")</f>
        <v>10</v>
      </c>
      <c r="CE16" s="28"/>
      <c r="CF16" s="20" t="s">
        <v>29</v>
      </c>
      <c r="CG16" s="20" t="n">
        <v>0.564583333333333</v>
      </c>
      <c r="CH16" s="20" t="n">
        <v>0.572916666666667</v>
      </c>
      <c r="CI16" s="1" t="str">
        <f aca="false">"[""" &amp; CF16 &amp; """, """ &amp; IF(CG16="","",TEXT(CG16,"h:mm")) &amp; """, """ &amp; IF(CH16="","",TEXT(CH16,"h:mm")) &amp; """],"</f>
        <v>["別府", "13:33", "13:45"],</v>
      </c>
      <c r="CJ16" s="18" t="n">
        <f aca="false">IF(AND(LEN(CG16)&lt;&gt;0,LEN(CH16)&lt;&gt;0),((HOUR(CH16)*60)+MINUTE(CH16))-((HOUR(CG16)*60)+MINUTE(CG16)),"")</f>
        <v>12</v>
      </c>
      <c r="CK16" s="21" t="s">
        <v>31</v>
      </c>
      <c r="CL16" s="22" t="n">
        <v>0.436805555555556</v>
      </c>
      <c r="CM16" s="22" t="n">
        <v>0.438194444444445</v>
      </c>
      <c r="CN16" s="1" t="str">
        <f aca="false">"[""" &amp; CK16 &amp; """, """ &amp; IF(CL16="","",TEXT(CL16,"h:mm")) &amp; """, """ &amp; IF(CM16="","",TEXT(CM16,"h:mm")) &amp; """],"</f>
        <v>["来居", "10:29", "10:31"],</v>
      </c>
      <c r="CO16" s="18" t="n">
        <f aca="false">IF(AND(LEN(CL16)&lt;&gt;0,LEN(CM16)&lt;&gt;0),((HOUR(CM16)*60)+MINUTE(CM16))-((HOUR(CL16)*60)+MINUTE(CL16)),"")</f>
        <v>2</v>
      </c>
      <c r="CP16" s="21" t="s">
        <v>31</v>
      </c>
      <c r="CQ16" s="22" t="n">
        <v>0.436805555555556</v>
      </c>
      <c r="CR16" s="22" t="n">
        <v>0.438194444444445</v>
      </c>
      <c r="CS16" s="1" t="str">
        <f aca="false">"[""" &amp; CP16 &amp; """, """ &amp; IF(CQ16="","",TEXT(CQ16,"h:mm")) &amp; """, """ &amp; IF(CR16="","",TEXT(CR16,"h:mm")) &amp; """],"</f>
        <v>["来居", "10:29", "10:31"],</v>
      </c>
      <c r="CT16" s="18" t="n">
        <f aca="false">IF(AND(LEN(CQ16)&lt;&gt;0,LEN(CR16)&lt;&gt;0),((HOUR(CR16)*60)+MINUTE(CR16))-((HOUR(CQ16)*60)+MINUTE(CQ16)),"")</f>
        <v>2</v>
      </c>
      <c r="CX16" s="1" t="s">
        <v>33</v>
      </c>
      <c r="CY16" s="18" t="str">
        <f aca="false">IF(AND(LEN(CV16)&lt;&gt;0,LEN(CW16)&lt;&gt;0),((HOUR(CW16)*60)+MINUTE(CW16))-((HOUR(CV16)*60)+MINUTE(CV16)),"")</f>
        <v/>
      </c>
      <c r="CZ16" s="20" t="s">
        <v>29</v>
      </c>
      <c r="DA16" s="20" t="n">
        <v>0.561111111111111</v>
      </c>
      <c r="DB16" s="20" t="n">
        <v>0.590277777777778</v>
      </c>
      <c r="DC16" s="1" t="str">
        <f aca="false">"[""" &amp; CZ16 &amp; """, """ &amp; IF(DA16="","",TEXT(DA16,"h:mm")) &amp; """, """ &amp; IF(DB16="","",TEXT(DB16,"h:mm")) &amp; """],"</f>
        <v>["別府", "13:28", "14:10"],</v>
      </c>
      <c r="DD16" s="18" t="n">
        <f aca="false">IF(AND(LEN(DA16)&lt;&gt;0,LEN(DB16)&lt;&gt;0),((HOUR(DB16)*60)+MINUTE(DB16))-((HOUR(DA16)*60)+MINUTE(DA16)),"")</f>
        <v>42</v>
      </c>
      <c r="DE16" s="20" t="s">
        <v>29</v>
      </c>
      <c r="DF16" s="20" t="n">
        <v>0.561111111111111</v>
      </c>
      <c r="DG16" s="20" t="n">
        <v>0.590277777777778</v>
      </c>
      <c r="DH16" s="1" t="str">
        <f aca="false">"[""" &amp; DE16 &amp; """, """ &amp; IF(DF16="","",TEXT(DF16,"h:mm")) &amp; """, """ &amp; IF(DG16="","",TEXT(DG16,"h:mm")) &amp; """],"</f>
        <v>["別府", "13:28", "14:10"],</v>
      </c>
      <c r="DI16" s="18" t="n">
        <f aca="false">IF(AND(LEN(DF16)&lt;&gt;0,LEN(DG16)&lt;&gt;0),((HOUR(DG16)*60)+MINUTE(DG16))-((HOUR(DF16)*60)+MINUTE(DF16)),"")</f>
        <v>42</v>
      </c>
    </row>
    <row r="17" customFormat="false" ht="18" hidden="false" customHeight="false" outlineLevel="0" collapsed="false">
      <c r="E17" s="18"/>
      <c r="J17" s="18"/>
      <c r="O17" s="18"/>
      <c r="T17" s="18"/>
      <c r="Y17" s="18"/>
      <c r="AD17" s="18"/>
      <c r="AI17" s="18" t="str">
        <f aca="false">IF(AND(LEN(AF17)&lt;&gt;0,LEN(AG17)&lt;&gt;0),((HOUR(AG17)*60)+MINUTE(AG17))-((HOUR(AF17)*60)+MINUTE(AF17)),"")</f>
        <v/>
      </c>
      <c r="AN17" s="18" t="str">
        <f aca="false">IF(AND(LEN(AK17)&lt;&gt;0,LEN(AL17)&lt;&gt;0),((HOUR(AL17)*60)+MINUTE(AL17))-((HOUR(AK17)*60)+MINUTE(AK17)),"")</f>
        <v/>
      </c>
      <c r="AO17" s="26"/>
      <c r="AT17" s="18" t="str">
        <f aca="false">IF(AND(LEN(AQ17)&lt;&gt;0,LEN(AR17)&lt;&gt;0),((HOUR(AR17)*60)+MINUTE(AR17))-((HOUR(AQ17)*60)+MINUTE(AQ17)),"")</f>
        <v/>
      </c>
      <c r="AY17" s="18" t="str">
        <f aca="false">IF(AND(LEN(AV17)&lt;&gt;0,LEN(AW17)&lt;&gt;0),((HOUR(AW17)*60)+MINUTE(AW17))-((HOUR(AV17)*60)+MINUTE(AV17)),"")</f>
        <v/>
      </c>
      <c r="BD17" s="18" t="str">
        <f aca="false">IF(AND(LEN(BA17)&lt;&gt;0,LEN(BB17)&lt;&gt;0),((HOUR(BB17)*60)+MINUTE(BB17))-((HOUR(BA17)*60)+MINUTE(BA17)),"")</f>
        <v/>
      </c>
      <c r="BI17" s="18" t="str">
        <f aca="false">IF(AND(LEN(BF17)&lt;&gt;0,LEN(BG17)&lt;&gt;0),((HOUR(BG17)*60)+MINUTE(BG17))-((HOUR(BF17)*60)+MINUTE(BF17)),"")</f>
        <v/>
      </c>
      <c r="BN17" s="18" t="str">
        <f aca="false">IF(AND(LEN(BK17)&lt;&gt;0,LEN(BL17)&lt;&gt;0),((HOUR(BL17)*60)+MINUTE(BL17))-((HOUR(BK17)*60)+MINUTE(BK17)),"")</f>
        <v/>
      </c>
      <c r="BP17" s="27"/>
      <c r="BQ17" s="27"/>
      <c r="BR17" s="27"/>
      <c r="BT17" s="18" t="str">
        <f aca="false">IF(AND(LEN(BQ17)&lt;&gt;0,LEN(BR17)&lt;&gt;0),((HOUR(BR17)*60)+MINUTE(BR17))-((HOUR(BQ17)*60)+MINUTE(BQ17)),"")</f>
        <v/>
      </c>
      <c r="BY17" s="18" t="str">
        <f aca="false">IF(AND(LEN(BV17)&lt;&gt;0,LEN(BW17)&lt;&gt;0),((HOUR(BW17)*60)+MINUTE(BW17))-((HOUR(BV17)*60)+MINUTE(BV17)),"")</f>
        <v/>
      </c>
      <c r="BZ17" s="19" t="s">
        <v>30</v>
      </c>
      <c r="CA17" s="19" t="n">
        <v>0.563888888888889</v>
      </c>
      <c r="CB17" s="19" t="n">
        <v>0.583333333333333</v>
      </c>
      <c r="CC17" s="1" t="str">
        <f aca="false">"[""" &amp; BZ17 &amp; """, """ &amp; IF(CA17="","",TEXT(CA17,"h:mm")) &amp; """, """ &amp; IF(CB17="","",TEXT(CB17,"h:mm")) &amp; """],"</f>
        <v>["菱浦", "13:32", "14:00"],</v>
      </c>
      <c r="CD17" s="18" t="n">
        <f aca="false">IF(AND(LEN(CA17)&lt;&gt;0,LEN(CB17)&lt;&gt;0),((HOUR(CB17)*60)+MINUTE(CB17))-((HOUR(CA17)*60)+MINUTE(CA17)),"")</f>
        <v>28</v>
      </c>
      <c r="CE17" s="28"/>
      <c r="CF17" s="21" t="s">
        <v>31</v>
      </c>
      <c r="CG17" s="22" t="n">
        <v>0.585416666666667</v>
      </c>
      <c r="CH17" s="22" t="n">
        <v>0.625</v>
      </c>
      <c r="CI17" s="1" t="str">
        <f aca="false">"[""" &amp; CF17 &amp; """, """ &amp; IF(CG17="","",TEXT(CG17,"h:mm")) &amp; """, """ &amp; IF(CH17="","",TEXT(CH17,"h:mm")) &amp; """],"</f>
        <v>["来居", "14:03", "15:00"],</v>
      </c>
      <c r="CJ17" s="18" t="n">
        <f aca="false">IF(AND(LEN(CG17)&lt;&gt;0,LEN(CH17)&lt;&gt;0),((HOUR(CH17)*60)+MINUTE(CH17))-((HOUR(CG17)*60)+MINUTE(CG17)),"")</f>
        <v>57</v>
      </c>
      <c r="CK17" s="19" t="s">
        <v>30</v>
      </c>
      <c r="CL17" s="19" t="n">
        <v>0.450694444444444</v>
      </c>
      <c r="CM17" s="19" t="n">
        <v>0.452083333333333</v>
      </c>
      <c r="CN17" s="1" t="str">
        <f aca="false">"[""" &amp; CK17 &amp; """, """ &amp; IF(CL17="","",TEXT(CL17,"h:mm")) &amp; """, """ &amp; IF(CM17="","",TEXT(CM17,"h:mm")) &amp; """],"</f>
        <v>["菱浦", "10:49", "10:51"],</v>
      </c>
      <c r="CO17" s="18" t="n">
        <f aca="false">IF(AND(LEN(CL17)&lt;&gt;0,LEN(CM17)&lt;&gt;0),((HOUR(CM17)*60)+MINUTE(CM17))-((HOUR(CL17)*60)+MINUTE(CL17)),"")</f>
        <v>2</v>
      </c>
      <c r="CP17" s="19" t="s">
        <v>30</v>
      </c>
      <c r="CQ17" s="19" t="n">
        <v>0.450694444444444</v>
      </c>
      <c r="CR17" s="19" t="n">
        <v>0.452083333333333</v>
      </c>
      <c r="CS17" s="1" t="str">
        <f aca="false">"[""" &amp; CP17 &amp; """, """ &amp; IF(CQ17="","",TEXT(CQ17,"h:mm")) &amp; """, """ &amp; IF(CR17="","",TEXT(CR17,"h:mm")) &amp; """],"</f>
        <v>["菱浦", "10:49", "10:51"],</v>
      </c>
      <c r="CT17" s="18" t="n">
        <f aca="false">IF(AND(LEN(CQ17)&lt;&gt;0,LEN(CR17)&lt;&gt;0),((HOUR(CR17)*60)+MINUTE(CR17))-((HOUR(CQ17)*60)+MINUTE(CQ17)),"")</f>
        <v>2</v>
      </c>
      <c r="CY17" s="18"/>
      <c r="CZ17" s="19" t="s">
        <v>30</v>
      </c>
      <c r="DA17" s="19" t="n">
        <v>0.595138888888889</v>
      </c>
      <c r="DB17" s="19" t="n">
        <v>0.596527777777778</v>
      </c>
      <c r="DC17" s="1" t="str">
        <f aca="false">"[""" &amp; CZ17 &amp; """, """ &amp; IF(DA17="","",TEXT(DA17,"h:mm")) &amp; """, """ &amp; IF(DB17="","",TEXT(DB17,"h:mm")) &amp; """],"</f>
        <v>["菱浦", "14:17", "14:19"],</v>
      </c>
      <c r="DD17" s="18" t="n">
        <f aca="false">IF(AND(LEN(DA17)&lt;&gt;0,LEN(DB17)&lt;&gt;0),((HOUR(DB17)*60)+MINUTE(DB17))-((HOUR(DA17)*60)+MINUTE(DA17)),"")</f>
        <v>2</v>
      </c>
      <c r="DE17" s="19" t="s">
        <v>30</v>
      </c>
      <c r="DF17" s="19" t="n">
        <v>0.595138888888889</v>
      </c>
      <c r="DG17" s="19" t="n">
        <v>0.596527777777778</v>
      </c>
      <c r="DH17" s="1" t="str">
        <f aca="false">"[""" &amp; DE17 &amp; """, """ &amp; IF(DF17="","",TEXT(DF17,"h:mm")) &amp; """, """ &amp; IF(DG17="","",TEXT(DG17,"h:mm")) &amp; """],"</f>
        <v>["菱浦", "14:17", "14:19"],</v>
      </c>
      <c r="DI17" s="18" t="n">
        <f aca="false">IF(AND(LEN(DF17)&lt;&gt;0,LEN(DG17)&lt;&gt;0),((HOUR(DG17)*60)+MINUTE(DG17))-((HOUR(DF17)*60)+MINUTE(DF17)),"")</f>
        <v>2</v>
      </c>
    </row>
    <row r="18" customFormat="false" ht="18" hidden="false" customHeight="false" outlineLevel="0" collapsed="false">
      <c r="E18" s="18"/>
      <c r="J18" s="18"/>
      <c r="O18" s="18"/>
      <c r="T18" s="18"/>
      <c r="Y18" s="18"/>
      <c r="AD18" s="18"/>
      <c r="AI18" s="18" t="str">
        <f aca="false">IF(AND(LEN(AF18)&lt;&gt;0,LEN(AG18)&lt;&gt;0),((HOUR(AG18)*60)+MINUTE(AG18))-((HOUR(AF18)*60)+MINUTE(AF18)),"")</f>
        <v/>
      </c>
      <c r="AN18" s="18" t="str">
        <f aca="false">IF(AND(LEN(AK18)&lt;&gt;0,LEN(AL18)&lt;&gt;0),((HOUR(AL18)*60)+MINUTE(AL18))-((HOUR(AK18)*60)+MINUTE(AK18)),"")</f>
        <v/>
      </c>
      <c r="AO18" s="26"/>
      <c r="AT18" s="18" t="str">
        <f aca="false">IF(AND(LEN(AQ18)&lt;&gt;0,LEN(AR18)&lt;&gt;0),((HOUR(AR18)*60)+MINUTE(AR18))-((HOUR(AQ18)*60)+MINUTE(AQ18)),"")</f>
        <v/>
      </c>
      <c r="AY18" s="18" t="str">
        <f aca="false">IF(AND(LEN(AV18)&lt;&gt;0,LEN(AW18)&lt;&gt;0),((HOUR(AW18)*60)+MINUTE(AW18))-((HOUR(AV18)*60)+MINUTE(AV18)),"")</f>
        <v/>
      </c>
      <c r="BD18" s="18" t="str">
        <f aca="false">IF(AND(LEN(BA18)&lt;&gt;0,LEN(BB18)&lt;&gt;0),((HOUR(BB18)*60)+MINUTE(BB18))-((HOUR(BA18)*60)+MINUTE(BA18)),"")</f>
        <v/>
      </c>
      <c r="BI18" s="18" t="str">
        <f aca="false">IF(AND(LEN(BF18)&lt;&gt;0,LEN(BG18)&lt;&gt;0),((HOUR(BG18)*60)+MINUTE(BG18))-((HOUR(BF18)*60)+MINUTE(BF18)),"")</f>
        <v/>
      </c>
      <c r="BN18" s="18" t="str">
        <f aca="false">IF(AND(LEN(BK18)&lt;&gt;0,LEN(BL18)&lt;&gt;0),((HOUR(BL18)*60)+MINUTE(BL18))-((HOUR(BK18)*60)+MINUTE(BK18)),"")</f>
        <v/>
      </c>
      <c r="BP18" s="27"/>
      <c r="BQ18" s="27"/>
      <c r="BR18" s="27"/>
      <c r="BT18" s="18" t="str">
        <f aca="false">IF(AND(LEN(BQ18)&lt;&gt;0,LEN(BR18)&lt;&gt;0),((HOUR(BR18)*60)+MINUTE(BR18))-((HOUR(BQ18)*60)+MINUTE(BQ18)),"")</f>
        <v/>
      </c>
      <c r="BY18" s="18" t="str">
        <f aca="false">IF(AND(LEN(BV18)&lt;&gt;0,LEN(BW18)&lt;&gt;0),((HOUR(BW18)*60)+MINUTE(BW18))-((HOUR(BV18)*60)+MINUTE(BV18)),"")</f>
        <v/>
      </c>
      <c r="BZ18" s="20" t="s">
        <v>29</v>
      </c>
      <c r="CA18" s="20" t="n">
        <v>0.59375</v>
      </c>
      <c r="CB18" s="20" t="n">
        <v>0.611111111111111</v>
      </c>
      <c r="CC18" s="1" t="str">
        <f aca="false">"[""" &amp; BZ18 &amp; """, """ &amp; IF(CA18="","",TEXT(CA18,"h:mm")) &amp; """, """ &amp; IF(CB18="","",TEXT(CB18,"h:mm")) &amp; """],"</f>
        <v>["別府", "14:15", "14:40"],</v>
      </c>
      <c r="CD18" s="18" t="n">
        <f aca="false">IF(AND(LEN(CA18)&lt;&gt;0,LEN(CB18)&lt;&gt;0),((HOUR(CB18)*60)+MINUTE(CB18))-((HOUR(CA18)*60)+MINUTE(CA18)),"")</f>
        <v>25</v>
      </c>
      <c r="CE18" s="28"/>
      <c r="CF18" s="20" t="s">
        <v>29</v>
      </c>
      <c r="CG18" s="20" t="n">
        <v>0.638194444444444</v>
      </c>
      <c r="CH18" s="20" t="n">
        <v>0.71875</v>
      </c>
      <c r="CI18" s="1" t="str">
        <f aca="false">"[""" &amp; CF18 &amp; """, """ &amp; IF(CG18="","",TEXT(CG18,"h:mm")) &amp; """, """ &amp; IF(CH18="","",TEXT(CH18,"h:mm")) &amp; """],"</f>
        <v>["別府", "15:19", "17:15"],</v>
      </c>
      <c r="CJ18" s="18" t="n">
        <f aca="false">IF(AND(LEN(CG18)&lt;&gt;0,LEN(CH18)&lt;&gt;0),((HOUR(CH18)*60)+MINUTE(CH18))-((HOUR(CG18)*60)+MINUTE(CG18)),"")</f>
        <v>116</v>
      </c>
      <c r="CK18" s="20" t="s">
        <v>29</v>
      </c>
      <c r="CL18" s="20" t="n">
        <v>0.456944444444444</v>
      </c>
      <c r="CM18" s="20" t="n">
        <v>0.49375</v>
      </c>
      <c r="CN18" s="1" t="str">
        <f aca="false">"[""" &amp; CK18 &amp; """, """ &amp; IF(CL18="","",TEXT(CL18,"h:mm")) &amp; """, """ &amp; IF(CM18="","",TEXT(CM18,"h:mm")) &amp; """],"</f>
        <v>["別府", "10:58", "11:51"],</v>
      </c>
      <c r="CO18" s="18" t="n">
        <f aca="false">IF(AND(LEN(CL18)&lt;&gt;0,LEN(CM18)&lt;&gt;0),((HOUR(CM18)*60)+MINUTE(CM18))-((HOUR(CL18)*60)+MINUTE(CL18)),"")</f>
        <v>53</v>
      </c>
      <c r="CP18" s="20" t="s">
        <v>29</v>
      </c>
      <c r="CQ18" s="20" t="n">
        <v>0.456944444444444</v>
      </c>
      <c r="CR18" s="20" t="n">
        <v>0.49375</v>
      </c>
      <c r="CS18" s="1" t="str">
        <f aca="false">"[""" &amp; CP18 &amp; """, """ &amp; IF(CQ18="","",TEXT(CQ18,"h:mm")) &amp; """, """ &amp; IF(CR18="","",TEXT(CR18,"h:mm")) &amp; """],"</f>
        <v>["別府", "10:58", "11:51"],</v>
      </c>
      <c r="CT18" s="18" t="n">
        <f aca="false">IF(AND(LEN(CQ18)&lt;&gt;0,LEN(CR18)&lt;&gt;0),((HOUR(CR18)*60)+MINUTE(CR18))-((HOUR(CQ18)*60)+MINUTE(CQ18)),"")</f>
        <v>53</v>
      </c>
      <c r="CY18" s="18"/>
      <c r="CZ18" s="20" t="s">
        <v>29</v>
      </c>
      <c r="DA18" s="20" t="n">
        <v>0.601388888888889</v>
      </c>
      <c r="DB18" s="20" t="n">
        <v>0.645833333333333</v>
      </c>
      <c r="DC18" s="1" t="str">
        <f aca="false">"[""" &amp; CZ18 &amp; """, """ &amp; IF(DA18="","",TEXT(DA18,"h:mm")) &amp; """, """ &amp; IF(DB18="","",TEXT(DB18,"h:mm")) &amp; """],"</f>
        <v>["別府", "14:26", "15:30"],</v>
      </c>
      <c r="DD18" s="18" t="n">
        <f aca="false">IF(AND(LEN(DA18)&lt;&gt;0,LEN(DB18)&lt;&gt;0),((HOUR(DB18)*60)+MINUTE(DB18))-((HOUR(DA18)*60)+MINUTE(DA18)),"")</f>
        <v>64</v>
      </c>
      <c r="DE18" s="20" t="s">
        <v>29</v>
      </c>
      <c r="DF18" s="20" t="n">
        <v>0.601388888888889</v>
      </c>
      <c r="DG18" s="20" t="n">
        <v>0.645833333333333</v>
      </c>
      <c r="DH18" s="1" t="str">
        <f aca="false">"[""" &amp; DE18 &amp; """, """ &amp; IF(DF18="","",TEXT(DF18,"h:mm")) &amp; """, """ &amp; IF(DG18="","",TEXT(DG18,"h:mm")) &amp; """],"</f>
        <v>["別府", "14:26", "15:30"],</v>
      </c>
      <c r="DI18" s="18" t="n">
        <f aca="false">IF(AND(LEN(DF18)&lt;&gt;0,LEN(DG18)&lt;&gt;0),((HOUR(DG18)*60)+MINUTE(DG18))-((HOUR(DF18)*60)+MINUTE(DF18)),"")</f>
        <v>64</v>
      </c>
    </row>
    <row r="19" customFormat="false" ht="18" hidden="false" customHeight="false" outlineLevel="0" collapsed="false">
      <c r="E19" s="18"/>
      <c r="J19" s="18"/>
      <c r="O19" s="18"/>
      <c r="T19" s="18"/>
      <c r="Y19" s="18"/>
      <c r="AD19" s="18"/>
      <c r="AI19" s="18" t="str">
        <f aca="false">IF(AND(LEN(AF19)&lt;&gt;0,LEN(AG19)&lt;&gt;0),((HOUR(AG19)*60)+MINUTE(AG19))-((HOUR(AF19)*60)+MINUTE(AF19)),"")</f>
        <v/>
      </c>
      <c r="AN19" s="18" t="str">
        <f aca="false">IF(AND(LEN(AK19)&lt;&gt;0,LEN(AL19)&lt;&gt;0),((HOUR(AL19)*60)+MINUTE(AL19))-((HOUR(AK19)*60)+MINUTE(AK19)),"")</f>
        <v/>
      </c>
      <c r="AO19" s="26"/>
      <c r="AT19" s="18" t="str">
        <f aca="false">IF(AND(LEN(AQ19)&lt;&gt;0,LEN(AR19)&lt;&gt;0),((HOUR(AR19)*60)+MINUTE(AR19))-((HOUR(AQ19)*60)+MINUTE(AQ19)),"")</f>
        <v/>
      </c>
      <c r="AY19" s="18" t="str">
        <f aca="false">IF(AND(LEN(AV19)&lt;&gt;0,LEN(AW19)&lt;&gt;0),((HOUR(AW19)*60)+MINUTE(AW19))-((HOUR(AV19)*60)+MINUTE(AV19)),"")</f>
        <v/>
      </c>
      <c r="BD19" s="18" t="str">
        <f aca="false">IF(AND(LEN(BA19)&lt;&gt;0,LEN(BB19)&lt;&gt;0),((HOUR(BB19)*60)+MINUTE(BB19))-((HOUR(BA19)*60)+MINUTE(BA19)),"")</f>
        <v/>
      </c>
      <c r="BI19" s="18" t="str">
        <f aca="false">IF(AND(LEN(BF19)&lt;&gt;0,LEN(BG19)&lt;&gt;0),((HOUR(BG19)*60)+MINUTE(BG19))-((HOUR(BF19)*60)+MINUTE(BF19)),"")</f>
        <v/>
      </c>
      <c r="BN19" s="18" t="str">
        <f aca="false">IF(AND(LEN(BK19)&lt;&gt;0,LEN(BL19)&lt;&gt;0),((HOUR(BL19)*60)+MINUTE(BL19))-((HOUR(BK19)*60)+MINUTE(BK19)),"")</f>
        <v/>
      </c>
      <c r="BP19" s="27"/>
      <c r="BQ19" s="27"/>
      <c r="BR19" s="27"/>
      <c r="BT19" s="18" t="str">
        <f aca="false">IF(AND(LEN(BQ19)&lt;&gt;0,LEN(BR19)&lt;&gt;0),((HOUR(BR19)*60)+MINUTE(BR19))-((HOUR(BQ19)*60)+MINUTE(BQ19)),"")</f>
        <v/>
      </c>
      <c r="BY19" s="18" t="str">
        <f aca="false">IF(AND(LEN(BV19)&lt;&gt;0,LEN(BW19)&lt;&gt;0),((HOUR(BW19)*60)+MINUTE(BW19))-((HOUR(BV19)*60)+MINUTE(BV19)),"")</f>
        <v/>
      </c>
      <c r="BZ19" s="19" t="s">
        <v>30</v>
      </c>
      <c r="CA19" s="19" t="n">
        <v>0.619444444444445</v>
      </c>
      <c r="CB19" s="19" t="n">
        <v>0.625</v>
      </c>
      <c r="CC19" s="1" t="str">
        <f aca="false">"[""" &amp; BZ19 &amp; """, """ &amp; IF(CA19="","",TEXT(CA19,"h:mm")) &amp; """, """ &amp; IF(CB19="","",TEXT(CB19,"h:mm")) &amp; """],"</f>
        <v>["菱浦", "14:52", "15:00"],</v>
      </c>
      <c r="CD19" s="18" t="n">
        <f aca="false">IF(AND(LEN(CA19)&lt;&gt;0,LEN(CB19)&lt;&gt;0),((HOUR(CB19)*60)+MINUTE(CB19))-((HOUR(CA19)*60)+MINUTE(CA19)),"")</f>
        <v>8</v>
      </c>
      <c r="CE19" s="28"/>
      <c r="CF19" s="19" t="s">
        <v>30</v>
      </c>
      <c r="CG19" s="19" t="n">
        <v>0.724305555555556</v>
      </c>
      <c r="CH19" s="19" t="n">
        <v>0.725694444444445</v>
      </c>
      <c r="CI19" s="1" t="str">
        <f aca="false">"[""" &amp; CF19 &amp; """, """ &amp; IF(CG19="","",TEXT(CG19,"h:mm")) &amp; """, """ &amp; IF(CH19="","",TEXT(CH19,"h:mm")) &amp; """],"</f>
        <v>["菱浦", "17:23", "17:25"],</v>
      </c>
      <c r="CJ19" s="18" t="n">
        <f aca="false">IF(AND(LEN(CG19)&lt;&gt;0,LEN(CH19)&lt;&gt;0),((HOUR(CH19)*60)+MINUTE(CH19))-((HOUR(CG19)*60)+MINUTE(CG19)),"")</f>
        <v>2</v>
      </c>
      <c r="CK19" s="21" t="s">
        <v>31</v>
      </c>
      <c r="CL19" s="22" t="n">
        <v>0.505555555555556</v>
      </c>
      <c r="CM19" s="22" t="n">
        <v>0.506944444444444</v>
      </c>
      <c r="CN19" s="1" t="str">
        <f aca="false">"[""" &amp; CK19 &amp; """, """ &amp; IF(CL19="","",TEXT(CL19,"h:mm")) &amp; """, """ &amp; IF(CM19="","",TEXT(CM19,"h:mm")) &amp; """],"</f>
        <v>["来居", "12:08", "12:10"],</v>
      </c>
      <c r="CO19" s="18" t="n">
        <f aca="false">IF(AND(LEN(CL19)&lt;&gt;0,LEN(CM19)&lt;&gt;0),((HOUR(CM19)*60)+MINUTE(CM19))-((HOUR(CL19)*60)+MINUTE(CL19)),"")</f>
        <v>2</v>
      </c>
      <c r="CP19" s="21" t="s">
        <v>31</v>
      </c>
      <c r="CQ19" s="22" t="n">
        <v>0.505555555555556</v>
      </c>
      <c r="CR19" s="22" t="n">
        <v>0.506944444444444</v>
      </c>
      <c r="CS19" s="1" t="str">
        <f aca="false">"[""" &amp; CP19 &amp; """, """ &amp; IF(CQ19="","",TEXT(CQ19,"h:mm")) &amp; """, """ &amp; IF(CR19="","",TEXT(CR19,"h:mm")) &amp; """],"</f>
        <v>["来居", "12:08", "12:10"],</v>
      </c>
      <c r="CT19" s="18" t="n">
        <f aca="false">IF(AND(LEN(CQ19)&lt;&gt;0,LEN(CR19)&lt;&gt;0),((HOUR(CR19)*60)+MINUTE(CR19))-((HOUR(CQ19)*60)+MINUTE(CQ19)),"")</f>
        <v>2</v>
      </c>
      <c r="CY19" s="18"/>
      <c r="CZ19" s="19" t="s">
        <v>30</v>
      </c>
      <c r="DA19" s="19" t="n">
        <v>0.650694444444445</v>
      </c>
      <c r="DB19" s="19" t="n">
        <v>0.652777777777778</v>
      </c>
      <c r="DC19" s="1" t="str">
        <f aca="false">"[""" &amp; CZ19 &amp; """, """ &amp; IF(DA19="","",TEXT(DA19,"h:mm")) &amp; """, """ &amp; IF(DB19="","",TEXT(DB19,"h:mm")) &amp; """],"</f>
        <v>["菱浦", "15:37", "15:40"],</v>
      </c>
      <c r="DD19" s="18" t="n">
        <f aca="false">IF(AND(LEN(DA19)&lt;&gt;0,LEN(DB19)&lt;&gt;0),((HOUR(DB19)*60)+MINUTE(DB19))-((HOUR(DA19)*60)+MINUTE(DA19)),"")</f>
        <v>3</v>
      </c>
      <c r="DE19" s="19" t="s">
        <v>30</v>
      </c>
      <c r="DF19" s="19" t="n">
        <v>0.650694444444445</v>
      </c>
      <c r="DG19" s="19" t="n">
        <v>0.652777777777778</v>
      </c>
      <c r="DH19" s="1" t="str">
        <f aca="false">"[""" &amp; DE19 &amp; """, """ &amp; IF(DF19="","",TEXT(DF19,"h:mm")) &amp; """, """ &amp; IF(DG19="","",TEXT(DG19,"h:mm")) &amp; """],"</f>
        <v>["菱浦", "15:37", "15:40"],</v>
      </c>
      <c r="DI19" s="18" t="n">
        <f aca="false">IF(AND(LEN(DF19)&lt;&gt;0,LEN(DG19)&lt;&gt;0),((HOUR(DG19)*60)+MINUTE(DG19))-((HOUR(DF19)*60)+MINUTE(DF19)),"")</f>
        <v>3</v>
      </c>
    </row>
    <row r="20" customFormat="false" ht="18" hidden="false" customHeight="false" outlineLevel="0" collapsed="false">
      <c r="E20" s="18"/>
      <c r="J20" s="18"/>
      <c r="O20" s="18"/>
      <c r="T20" s="18"/>
      <c r="Y20" s="18"/>
      <c r="AD20" s="18"/>
      <c r="AI20" s="18" t="str">
        <f aca="false">IF(AND(LEN(AF20)&lt;&gt;0,LEN(AG20)&lt;&gt;0),((HOUR(AG20)*60)+MINUTE(AG20))-((HOUR(AF20)*60)+MINUTE(AF20)),"")</f>
        <v/>
      </c>
      <c r="AN20" s="18" t="str">
        <f aca="false">IF(AND(LEN(AK20)&lt;&gt;0,LEN(AL20)&lt;&gt;0),((HOUR(AL20)*60)+MINUTE(AL20))-((HOUR(AK20)*60)+MINUTE(AK20)),"")</f>
        <v/>
      </c>
      <c r="AO20" s="26"/>
      <c r="AT20" s="18" t="str">
        <f aca="false">IF(AND(LEN(AQ20)&lt;&gt;0,LEN(AR20)&lt;&gt;0),((HOUR(AR20)*60)+MINUTE(AR20))-((HOUR(AQ20)*60)+MINUTE(AQ20)),"")</f>
        <v/>
      </c>
      <c r="AY20" s="18" t="str">
        <f aca="false">IF(AND(LEN(AV20)&lt;&gt;0,LEN(AW20)&lt;&gt;0),((HOUR(AW20)*60)+MINUTE(AW20))-((HOUR(AV20)*60)+MINUTE(AV20)),"")</f>
        <v/>
      </c>
      <c r="BD20" s="18" t="str">
        <f aca="false">IF(AND(LEN(BA20)&lt;&gt;0,LEN(BB20)&lt;&gt;0),((HOUR(BB20)*60)+MINUTE(BB20))-((HOUR(BA20)*60)+MINUTE(BA20)),"")</f>
        <v/>
      </c>
      <c r="BI20" s="18" t="str">
        <f aca="false">IF(AND(LEN(BF20)&lt;&gt;0,LEN(BG20)&lt;&gt;0),((HOUR(BG20)*60)+MINUTE(BG20))-((HOUR(BF20)*60)+MINUTE(BF20)),"")</f>
        <v/>
      </c>
      <c r="BN20" s="18" t="str">
        <f aca="false">IF(AND(LEN(BK20)&lt;&gt;0,LEN(BL20)&lt;&gt;0),((HOUR(BL20)*60)+MINUTE(BL20))-((HOUR(BK20)*60)+MINUTE(BK20)),"")</f>
        <v/>
      </c>
      <c r="BP20" s="27"/>
      <c r="BQ20" s="27"/>
      <c r="BR20" s="27"/>
      <c r="BT20" s="18" t="str">
        <f aca="false">IF(AND(LEN(BQ20)&lt;&gt;0,LEN(BR20)&lt;&gt;0),((HOUR(BR20)*60)+MINUTE(BR20))-((HOUR(BQ20)*60)+MINUTE(BQ20)),"")</f>
        <v/>
      </c>
      <c r="BY20" s="18" t="str">
        <f aca="false">IF(AND(LEN(BV20)&lt;&gt;0,LEN(BW20)&lt;&gt;0),((HOUR(BW20)*60)+MINUTE(BW20))-((HOUR(BV20)*60)+MINUTE(BV20)),"")</f>
        <v/>
      </c>
      <c r="BZ20" s="20" t="s">
        <v>29</v>
      </c>
      <c r="CA20" s="20" t="n">
        <v>0.635416666666667</v>
      </c>
      <c r="CB20" s="20" t="n">
        <v>0.638888888888889</v>
      </c>
      <c r="CC20" s="1" t="str">
        <f aca="false">"[""" &amp; BZ20 &amp; """, """ &amp; IF(CA20="","",TEXT(CA20,"h:mm")) &amp; """, """ &amp; IF(CB20="","",TEXT(CB20,"h:mm")) &amp; """],"</f>
        <v>["別府", "15:15", "15:20"],</v>
      </c>
      <c r="CD20" s="18" t="n">
        <f aca="false">IF(AND(LEN(CA20)&lt;&gt;0,LEN(CB20)&lt;&gt;0),((HOUR(CB20)*60)+MINUTE(CB20))-((HOUR(CA20)*60)+MINUTE(CA20)),"")</f>
        <v>5</v>
      </c>
      <c r="CE20" s="28"/>
      <c r="CF20" s="21" t="s">
        <v>31</v>
      </c>
      <c r="CG20" s="22" t="n">
        <v>0.739583333333333</v>
      </c>
      <c r="CH20" s="22" t="n">
        <v>0.740972222222222</v>
      </c>
      <c r="CI20" s="1" t="str">
        <f aca="false">"[""" &amp; CF20 &amp; """, """ &amp; IF(CG20="","",TEXT(CG20,"h:mm")) &amp; """, """ &amp; IF(CH20="","",TEXT(CH20,"h:mm")) &amp; """],"</f>
        <v>["来居", "17:45", "17:47"],</v>
      </c>
      <c r="CJ20" s="18" t="n">
        <f aca="false">IF(AND(LEN(CG20)&lt;&gt;0,LEN(CH20)&lt;&gt;0),((HOUR(CH20)*60)+MINUTE(CH20))-((HOUR(CG20)*60)+MINUTE(CG20)),"")</f>
        <v>2</v>
      </c>
      <c r="CK20" s="19" t="s">
        <v>30</v>
      </c>
      <c r="CL20" s="19" t="n">
        <v>0.519444444444445</v>
      </c>
      <c r="CM20" s="19" t="n">
        <v>0.520833333333333</v>
      </c>
      <c r="CN20" s="1" t="str">
        <f aca="false">"[""" &amp; CK20 &amp; """, """ &amp; IF(CL20="","",TEXT(CL20,"h:mm")) &amp; """, """ &amp; IF(CM20="","",TEXT(CM20,"h:mm")) &amp; """],"</f>
        <v>["菱浦", "12:28", "12:30"],</v>
      </c>
      <c r="CO20" s="18" t="n">
        <f aca="false">IF(AND(LEN(CL20)&lt;&gt;0,LEN(CM20)&lt;&gt;0),((HOUR(CM20)*60)+MINUTE(CM20))-((HOUR(CL20)*60)+MINUTE(CL20)),"")</f>
        <v>2</v>
      </c>
      <c r="CP20" s="19" t="s">
        <v>30</v>
      </c>
      <c r="CQ20" s="19" t="n">
        <v>0.519444444444445</v>
      </c>
      <c r="CR20" s="19" t="n">
        <v>0.520833333333333</v>
      </c>
      <c r="CS20" s="1" t="str">
        <f aca="false">"[""" &amp; CP20 &amp; """, """ &amp; IF(CQ20="","",TEXT(CQ20,"h:mm")) &amp; """, """ &amp; IF(CR20="","",TEXT(CR20,"h:mm")) &amp; """],"</f>
        <v>["菱浦", "12:28", "12:30"],</v>
      </c>
      <c r="CT20" s="18" t="n">
        <f aca="false">IF(AND(LEN(CQ20)&lt;&gt;0,LEN(CR20)&lt;&gt;0),((HOUR(CR20)*60)+MINUTE(CR20))-((HOUR(CQ20)*60)+MINUTE(CQ20)),"")</f>
        <v>2</v>
      </c>
      <c r="CY20" s="18"/>
      <c r="CZ20" s="20" t="s">
        <v>29</v>
      </c>
      <c r="DA20" s="20" t="n">
        <v>0.657638888888889</v>
      </c>
      <c r="DB20" s="20" t="n">
        <v>0.673611111111111</v>
      </c>
      <c r="DC20" s="1" t="str">
        <f aca="false">"[""" &amp; CZ20 &amp; """, """ &amp; IF(DA20="","",TEXT(DA20,"h:mm")) &amp; """, """ &amp; IF(DB20="","",TEXT(DB20,"h:mm")) &amp; """],"</f>
        <v>["別府", "15:47", "16:10"],</v>
      </c>
      <c r="DD20" s="18" t="n">
        <f aca="false">IF(AND(LEN(DA20)&lt;&gt;0,LEN(DB20)&lt;&gt;0),((HOUR(DB20)*60)+MINUTE(DB20))-((HOUR(DA20)*60)+MINUTE(DA20)),"")</f>
        <v>23</v>
      </c>
      <c r="DE20" s="20" t="s">
        <v>29</v>
      </c>
      <c r="DF20" s="20" t="n">
        <v>0.657638888888889</v>
      </c>
      <c r="DG20" s="20" t="n">
        <v>0.673611111111111</v>
      </c>
      <c r="DH20" s="1" t="str">
        <f aca="false">"[""" &amp; DE20 &amp; """, """ &amp; IF(DF20="","",TEXT(DF20,"h:mm")) &amp; """, """ &amp; IF(DG20="","",TEXT(DG20,"h:mm")) &amp; """],"</f>
        <v>["別府", "15:47", "16:10"],</v>
      </c>
      <c r="DI20" s="18" t="n">
        <f aca="false">IF(AND(LEN(DF20)&lt;&gt;0,LEN(DG20)&lt;&gt;0),((HOUR(DG20)*60)+MINUTE(DG20))-((HOUR(DF20)*60)+MINUTE(DF20)),"")</f>
        <v>23</v>
      </c>
    </row>
    <row r="21" customFormat="false" ht="18" hidden="false" customHeight="false" outlineLevel="0" collapsed="false">
      <c r="E21" s="18"/>
      <c r="J21" s="18"/>
      <c r="O21" s="18"/>
      <c r="T21" s="18"/>
      <c r="Y21" s="18"/>
      <c r="AD21" s="18"/>
      <c r="AI21" s="18" t="str">
        <f aca="false">IF(AND(LEN(AF21)&lt;&gt;0,LEN(AG21)&lt;&gt;0),((HOUR(AG21)*60)+MINUTE(AG21))-((HOUR(AF21)*60)+MINUTE(AF21)),"")</f>
        <v/>
      </c>
      <c r="AN21" s="18" t="str">
        <f aca="false">IF(AND(LEN(AK21)&lt;&gt;0,LEN(AL21)&lt;&gt;0),((HOUR(AL21)*60)+MINUTE(AL21))-((HOUR(AK21)*60)+MINUTE(AK21)),"")</f>
        <v/>
      </c>
      <c r="AO21" s="26"/>
      <c r="AT21" s="18" t="str">
        <f aca="false">IF(AND(LEN(AQ21)&lt;&gt;0,LEN(AR21)&lt;&gt;0),((HOUR(AR21)*60)+MINUTE(AR21))-((HOUR(AQ21)*60)+MINUTE(AQ21)),"")</f>
        <v/>
      </c>
      <c r="AY21" s="18" t="str">
        <f aca="false">IF(AND(LEN(AV21)&lt;&gt;0,LEN(AW21)&lt;&gt;0),((HOUR(AW21)*60)+MINUTE(AW21))-((HOUR(AV21)*60)+MINUTE(AV21)),"")</f>
        <v/>
      </c>
      <c r="BD21" s="18" t="str">
        <f aca="false">IF(AND(LEN(BA21)&lt;&gt;0,LEN(BB21)&lt;&gt;0),((HOUR(BB21)*60)+MINUTE(BB21))-((HOUR(BA21)*60)+MINUTE(BA21)),"")</f>
        <v/>
      </c>
      <c r="BI21" s="18" t="str">
        <f aca="false">IF(AND(LEN(BF21)&lt;&gt;0,LEN(BG21)&lt;&gt;0),((HOUR(BG21)*60)+MINUTE(BG21))-((HOUR(BF21)*60)+MINUTE(BF21)),"")</f>
        <v/>
      </c>
      <c r="BN21" s="18" t="str">
        <f aca="false">IF(AND(LEN(BK21)&lt;&gt;0,LEN(BL21)&lt;&gt;0),((HOUR(BL21)*60)+MINUTE(BL21))-((HOUR(BK21)*60)+MINUTE(BK21)),"")</f>
        <v/>
      </c>
      <c r="BP21" s="27"/>
      <c r="BQ21" s="27"/>
      <c r="BR21" s="27"/>
      <c r="BT21" s="18" t="str">
        <f aca="false">IF(AND(LEN(BQ21)&lt;&gt;0,LEN(BR21)&lt;&gt;0),((HOUR(BR21)*60)+MINUTE(BR21))-((HOUR(BQ21)*60)+MINUTE(BQ21)),"")</f>
        <v/>
      </c>
      <c r="BY21" s="18" t="str">
        <f aca="false">IF(AND(LEN(BV21)&lt;&gt;0,LEN(BW21)&lt;&gt;0),((HOUR(BW21)*60)+MINUTE(BW21))-((HOUR(BV21)*60)+MINUTE(BV21)),"")</f>
        <v/>
      </c>
      <c r="BZ21" s="21" t="s">
        <v>31</v>
      </c>
      <c r="CA21" s="22" t="n">
        <v>0.660416666666667</v>
      </c>
      <c r="CB21" s="22" t="n">
        <v>0.664583333333333</v>
      </c>
      <c r="CC21" s="1" t="str">
        <f aca="false">"[""" &amp; BZ21 &amp; """, """ &amp; IF(CA21="","",TEXT(CA21,"h:mm")) &amp; """, """ &amp; IF(CB21="","",TEXT(CB21,"h:mm")) &amp; """],"</f>
        <v>["来居", "15:51", "15:57"],</v>
      </c>
      <c r="CD21" s="18" t="n">
        <f aca="false">IF(AND(LEN(CA21)&lt;&gt;0,LEN(CB21)&lt;&gt;0),((HOUR(CB21)*60)+MINUTE(CB21))-((HOUR(CA21)*60)+MINUTE(CA21)),"")</f>
        <v>6</v>
      </c>
      <c r="CE21" s="28"/>
      <c r="CF21" s="19" t="s">
        <v>30</v>
      </c>
      <c r="CG21" s="19" t="n">
        <v>0.754861111111111</v>
      </c>
      <c r="CH21" s="19" t="n">
        <v>0.75625</v>
      </c>
      <c r="CI21" s="1" t="str">
        <f aca="false">"[""" &amp; CF21 &amp; """, """ &amp; IF(CG21="","",TEXT(CG21,"h:mm")) &amp; """, """ &amp; IF(CH21="","",TEXT(CH21,"h:mm")) &amp; """],"</f>
        <v>["菱浦", "18:07", "18:09"],</v>
      </c>
      <c r="CJ21" s="18" t="n">
        <f aca="false">IF(AND(LEN(CG21)&lt;&gt;0,LEN(CH21)&lt;&gt;0),((HOUR(CH21)*60)+MINUTE(CH21))-((HOUR(CG21)*60)+MINUTE(CG21)),"")</f>
        <v>2</v>
      </c>
      <c r="CK21" s="20" t="s">
        <v>29</v>
      </c>
      <c r="CL21" s="20" t="n">
        <v>0.525694444444445</v>
      </c>
      <c r="CM21" s="20" t="n">
        <v>0.527777777777778</v>
      </c>
      <c r="CN21" s="1" t="str">
        <f aca="false">"[""" &amp; CK21 &amp; """, """ &amp; IF(CL21="","",TEXT(CL21,"h:mm")) &amp; """, """ &amp; IF(CM21="","",TEXT(CM21,"h:mm")) &amp; """],"</f>
        <v>["別府", "12:37", "12:40"],</v>
      </c>
      <c r="CO21" s="18" t="n">
        <f aca="false">IF(AND(LEN(CL21)&lt;&gt;0,LEN(CM21)&lt;&gt;0),((HOUR(CM21)*60)+MINUTE(CM21))-((HOUR(CL21)*60)+MINUTE(CL21)),"")</f>
        <v>3</v>
      </c>
      <c r="CP21" s="20" t="s">
        <v>29</v>
      </c>
      <c r="CQ21" s="20" t="n">
        <v>0.525694444444445</v>
      </c>
      <c r="CR21" s="20" t="n">
        <v>0.527777777777778</v>
      </c>
      <c r="CS21" s="1" t="str">
        <f aca="false">"[""" &amp; CP21 &amp; """, """ &amp; IF(CQ21="","",TEXT(CQ21,"h:mm")) &amp; """, """ &amp; IF(CR21="","",TEXT(CR21,"h:mm")) &amp; """],"</f>
        <v>["別府", "12:37", "12:40"],</v>
      </c>
      <c r="CT21" s="18" t="n">
        <f aca="false">IF(AND(LEN(CQ21)&lt;&gt;0,LEN(CR21)&lt;&gt;0),((HOUR(CR21)*60)+MINUTE(CR21))-((HOUR(CQ21)*60)+MINUTE(CQ21)),"")</f>
        <v>3</v>
      </c>
      <c r="CY21" s="18"/>
      <c r="CZ21" s="19" t="s">
        <v>30</v>
      </c>
      <c r="DA21" s="19" t="n">
        <v>0.678472222222222</v>
      </c>
      <c r="DB21" s="19" t="n">
        <v>0.700694444444444</v>
      </c>
      <c r="DC21" s="1" t="str">
        <f aca="false">"[""" &amp; CZ21 &amp; """, """ &amp; IF(DA21="","",TEXT(DA21,"h:mm")) &amp; """, """ &amp; IF(DB21="","",TEXT(DB21,"h:mm")) &amp; """],"</f>
        <v>["菱浦", "16:17", "16:49"],</v>
      </c>
      <c r="DD21" s="18" t="n">
        <f aca="false">IF(AND(LEN(DA21)&lt;&gt;0,LEN(DB21)&lt;&gt;0),((HOUR(DB21)*60)+MINUTE(DB21))-((HOUR(DA21)*60)+MINUTE(DA21)),"")</f>
        <v>32</v>
      </c>
      <c r="DE21" s="19" t="s">
        <v>30</v>
      </c>
      <c r="DF21" s="19" t="n">
        <v>0.678472222222222</v>
      </c>
      <c r="DG21" s="19" t="n">
        <v>0.700694444444444</v>
      </c>
      <c r="DH21" s="1" t="str">
        <f aca="false">"[""" &amp; DE21 &amp; """, """ &amp; IF(DF21="","",TEXT(DF21,"h:mm")) &amp; """, """ &amp; IF(DG21="","",TEXT(DG21,"h:mm")) &amp; """],"</f>
        <v>["菱浦", "16:17", "16:49"],</v>
      </c>
      <c r="DI21" s="18" t="n">
        <f aca="false">IF(AND(LEN(DF21)&lt;&gt;0,LEN(DG21)&lt;&gt;0),((HOUR(DG21)*60)+MINUTE(DG21))-((HOUR(DF21)*60)+MINUTE(DF21)),"")</f>
        <v>32</v>
      </c>
    </row>
    <row r="22" customFormat="false" ht="18" hidden="false" customHeight="false" outlineLevel="0" collapsed="false">
      <c r="E22" s="18"/>
      <c r="J22" s="18"/>
      <c r="O22" s="18"/>
      <c r="T22" s="18"/>
      <c r="Y22" s="18"/>
      <c r="AD22" s="18"/>
      <c r="AI22" s="18" t="str">
        <f aca="false">IF(AND(LEN(AF22)&lt;&gt;0,LEN(AG22)&lt;&gt;0),((HOUR(AG22)*60)+MINUTE(AG22))-((HOUR(AF22)*60)+MINUTE(AF22)),"")</f>
        <v/>
      </c>
      <c r="AN22" s="18" t="str">
        <f aca="false">IF(AND(LEN(AK22)&lt;&gt;0,LEN(AL22)&lt;&gt;0),((HOUR(AL22)*60)+MINUTE(AL22))-((HOUR(AK22)*60)+MINUTE(AK22)),"")</f>
        <v/>
      </c>
      <c r="AO22" s="26"/>
      <c r="AT22" s="18" t="str">
        <f aca="false">IF(AND(LEN(AQ22)&lt;&gt;0,LEN(AR22)&lt;&gt;0),((HOUR(AR22)*60)+MINUTE(AR22))-((HOUR(AQ22)*60)+MINUTE(AQ22)),"")</f>
        <v/>
      </c>
      <c r="AY22" s="18" t="str">
        <f aca="false">IF(AND(LEN(AV22)&lt;&gt;0,LEN(AW22)&lt;&gt;0),((HOUR(AW22)*60)+MINUTE(AW22))-((HOUR(AV22)*60)+MINUTE(AV22)),"")</f>
        <v/>
      </c>
      <c r="BD22" s="18" t="str">
        <f aca="false">IF(AND(LEN(BA22)&lt;&gt;0,LEN(BB22)&lt;&gt;0),((HOUR(BB22)*60)+MINUTE(BB22))-((HOUR(BA22)*60)+MINUTE(BA22)),"")</f>
        <v/>
      </c>
      <c r="BI22" s="18" t="str">
        <f aca="false">IF(AND(LEN(BF22)&lt;&gt;0,LEN(BG22)&lt;&gt;0),((HOUR(BG22)*60)+MINUTE(BG22))-((HOUR(BF22)*60)+MINUTE(BF22)),"")</f>
        <v/>
      </c>
      <c r="BN22" s="18" t="str">
        <f aca="false">IF(AND(LEN(BK22)&lt;&gt;0,LEN(BL22)&lt;&gt;0),((HOUR(BL22)*60)+MINUTE(BL22))-((HOUR(BK22)*60)+MINUTE(BK22)),"")</f>
        <v/>
      </c>
      <c r="BP22" s="27"/>
      <c r="BQ22" s="27"/>
      <c r="BR22" s="27"/>
      <c r="BT22" s="18" t="str">
        <f aca="false">IF(AND(LEN(BQ22)&lt;&gt;0,LEN(BR22)&lt;&gt;0),((HOUR(BR22)*60)+MINUTE(BR22))-((HOUR(BQ22)*60)+MINUTE(BQ22)),"")</f>
        <v/>
      </c>
      <c r="BY22" s="18" t="str">
        <f aca="false">IF(AND(LEN(BV22)&lt;&gt;0,LEN(BW22)&lt;&gt;0),((HOUR(BW22)*60)+MINUTE(BW22))-((HOUR(BV22)*60)+MINUTE(BV22)),"")</f>
        <v/>
      </c>
      <c r="BZ22" s="20" t="s">
        <v>29</v>
      </c>
      <c r="CA22" s="20" t="n">
        <v>0.690972222222222</v>
      </c>
      <c r="CB22" s="20" t="n">
        <v>0.695833333333333</v>
      </c>
      <c r="CC22" s="1" t="str">
        <f aca="false">"[""" &amp; BZ22 &amp; """, """ &amp; IF(CA22="","",TEXT(CA22,"h:mm")) &amp; """, """ &amp; IF(CB22="","",TEXT(CB22,"h:mm")) &amp; """],"</f>
        <v>["別府", "16:35", "16:42"],</v>
      </c>
      <c r="CD22" s="18" t="n">
        <f aca="false">IF(AND(LEN(CA22)&lt;&gt;0,LEN(CB22)&lt;&gt;0),((HOUR(CB22)*60)+MINUTE(CB22))-((HOUR(CA22)*60)+MINUTE(CA22)),"")</f>
        <v>7</v>
      </c>
      <c r="CE22" s="28"/>
      <c r="CF22" s="20" t="s">
        <v>29</v>
      </c>
      <c r="CG22" s="20" t="n">
        <v>0.761805555555556</v>
      </c>
      <c r="CI22" s="1" t="str">
        <f aca="false">"[""" &amp; CF22 &amp; """, """ &amp; IF(CG22="","",TEXT(CG22,"h:mm")) &amp; """, """ &amp; IF(CH22="","",TEXT(CH22,"h:mm")) &amp; """]"</f>
        <v>["別府", "18:17", ""]</v>
      </c>
      <c r="CJ22" s="18" t="str">
        <f aca="false">IF(AND(LEN(CG22)&lt;&gt;0,LEN(CH22)&lt;&gt;0),((HOUR(CH22)*60)+MINUTE(CH22))-((HOUR(CG22)*60)+MINUTE(CG22)),"")</f>
        <v/>
      </c>
      <c r="CK22" s="21" t="s">
        <v>31</v>
      </c>
      <c r="CL22" s="22" t="n">
        <v>0.539583333333333</v>
      </c>
      <c r="CM22" s="22" t="n">
        <v>0.541666666666667</v>
      </c>
      <c r="CN22" s="1" t="str">
        <f aca="false">"[""" &amp; CK22 &amp; """, """ &amp; IF(CL22="","",TEXT(CL22,"h:mm")) &amp; """, """ &amp; IF(CM22="","",TEXT(CM22,"h:mm")) &amp; """],"</f>
        <v>["来居", "12:57", "13:00"],</v>
      </c>
      <c r="CO22" s="18" t="n">
        <f aca="false">IF(AND(LEN(CL22)&lt;&gt;0,LEN(CM22)&lt;&gt;0),((HOUR(CM22)*60)+MINUTE(CM22))-((HOUR(CL22)*60)+MINUTE(CL22)),"")</f>
        <v>3</v>
      </c>
      <c r="CP22" s="21" t="s">
        <v>31</v>
      </c>
      <c r="CQ22" s="22" t="n">
        <v>0.539583333333333</v>
      </c>
      <c r="CR22" s="22" t="n">
        <v>0.541666666666667</v>
      </c>
      <c r="CS22" s="1" t="str">
        <f aca="false">"[""" &amp; CP22 &amp; """, """ &amp; IF(CQ22="","",TEXT(CQ22,"h:mm")) &amp; """, """ &amp; IF(CR22="","",TEXT(CR22,"h:mm")) &amp; """],"</f>
        <v>["来居", "12:57", "13:00"],</v>
      </c>
      <c r="CT22" s="18" t="n">
        <f aca="false">IF(AND(LEN(CQ22)&lt;&gt;0,LEN(CR22)&lt;&gt;0),((HOUR(CR22)*60)+MINUTE(CR22))-((HOUR(CQ22)*60)+MINUTE(CQ22)),"")</f>
        <v>3</v>
      </c>
      <c r="CY22" s="18"/>
      <c r="CZ22" s="20" t="s">
        <v>29</v>
      </c>
      <c r="DA22" s="20" t="n">
        <v>0.705555555555556</v>
      </c>
      <c r="DB22" s="20" t="n">
        <v>0.722222222222222</v>
      </c>
      <c r="DC22" s="1" t="str">
        <f aca="false">"[""" &amp; CZ22 &amp; """, """ &amp; IF(DA22="","",TEXT(DA22,"h:mm")) &amp; """, """ &amp; IF(DB22="","",TEXT(DB22,"h:mm")) &amp; """],"</f>
        <v>["別府", "16:56", "17:20"],</v>
      </c>
      <c r="DD22" s="18" t="n">
        <f aca="false">IF(AND(LEN(DA22)&lt;&gt;0,LEN(DB22)&lt;&gt;0),((HOUR(DB22)*60)+MINUTE(DB22))-((HOUR(DA22)*60)+MINUTE(DA22)),"")</f>
        <v>24</v>
      </c>
      <c r="DE22" s="20" t="s">
        <v>29</v>
      </c>
      <c r="DF22" s="20" t="n">
        <v>0.705555555555556</v>
      </c>
      <c r="DG22" s="20" t="n">
        <v>0.722222222222222</v>
      </c>
      <c r="DH22" s="1" t="str">
        <f aca="false">"[""" &amp; DE22 &amp; """, """ &amp; IF(DF22="","",TEXT(DF22,"h:mm")) &amp; """, """ &amp; IF(DG22="","",TEXT(DG22,"h:mm")) &amp; """],"</f>
        <v>["別府", "16:56", "17:20"],</v>
      </c>
      <c r="DI22" s="18" t="n">
        <f aca="false">IF(AND(LEN(DF22)&lt;&gt;0,LEN(DG22)&lt;&gt;0),((HOUR(DG22)*60)+MINUTE(DG22))-((HOUR(DF22)*60)+MINUTE(DF22)),"")</f>
        <v>24</v>
      </c>
    </row>
    <row r="23" customFormat="false" ht="18" hidden="false" customHeight="false" outlineLevel="0" collapsed="false">
      <c r="E23" s="18" t="str">
        <f aca="false">IF(AND(LEN(B23)&lt;&gt;0,LEN(C23)&lt;&gt;0),((HOUR(C23)*60)+MINUTE(C23))-((HOUR(B23)*60)+MINUTE(B23)),"")</f>
        <v/>
      </c>
      <c r="J23" s="18" t="str">
        <f aca="false">IF(AND(LEN(G23)&lt;&gt;0,LEN(H23)&lt;&gt;0),((HOUR(H23)*60)+MINUTE(H23))-((HOUR(G23)*60)+MINUTE(G23)),"")</f>
        <v/>
      </c>
      <c r="O23" s="18" t="str">
        <f aca="false">IF(AND(LEN(L23)&lt;&gt;0,LEN(M23)&lt;&gt;0),((HOUR(M23)*60)+MINUTE(M23))-((HOUR(L23)*60)+MINUTE(L23)),"")</f>
        <v/>
      </c>
      <c r="T23" s="18" t="str">
        <f aca="false">IF(AND(LEN(Q23)&lt;&gt;0,LEN(R23)&lt;&gt;0),((HOUR(R23)*60)+MINUTE(R23))-((HOUR(Q23)*60)+MINUTE(Q23)),"")</f>
        <v/>
      </c>
      <c r="Y23" s="18" t="str">
        <f aca="false">IF(AND(LEN(V23)&lt;&gt;0,LEN(W23)&lt;&gt;0),((HOUR(W23)*60)+MINUTE(W23))-((HOUR(V23)*60)+MINUTE(V23)),"")</f>
        <v/>
      </c>
      <c r="AD23" s="18" t="str">
        <f aca="false">IF(AND(LEN(AA23)&lt;&gt;0,LEN(AB23)&lt;&gt;0),((HOUR(AB23)*60)+MINUTE(AB23))-((HOUR(AA23)*60)+MINUTE(AA23)),"")</f>
        <v/>
      </c>
      <c r="AI23" s="18" t="str">
        <f aca="false">IF(AND(LEN(AF23)&lt;&gt;0,LEN(AG23)&lt;&gt;0),((HOUR(AG23)*60)+MINUTE(AG23))-((HOUR(AF23)*60)+MINUTE(AF23)),"")</f>
        <v/>
      </c>
      <c r="AN23" s="18" t="str">
        <f aca="false">IF(AND(LEN(AK23)&lt;&gt;0,LEN(AL23)&lt;&gt;0),((HOUR(AL23)*60)+MINUTE(AL23))-((HOUR(AK23)*60)+MINUTE(AK23)),"")</f>
        <v/>
      </c>
      <c r="AT23" s="18" t="str">
        <f aca="false">IF(AND(LEN(AQ23)&lt;&gt;0,LEN(AR23)&lt;&gt;0),((HOUR(AR23)*60)+MINUTE(AR23))-((HOUR(AQ23)*60)+MINUTE(AQ23)),"")</f>
        <v/>
      </c>
      <c r="AY23" s="18" t="str">
        <f aca="false">IF(AND(LEN(AV23)&lt;&gt;0,LEN(AW23)&lt;&gt;0),((HOUR(AW23)*60)+MINUTE(AW23))-((HOUR(AV23)*60)+MINUTE(AV23)),"")</f>
        <v/>
      </c>
      <c r="BD23" s="18" t="str">
        <f aca="false">IF(AND(LEN(BA23)&lt;&gt;0,LEN(BB23)&lt;&gt;0),((HOUR(BB23)*60)+MINUTE(BB23))-((HOUR(BA23)*60)+MINUTE(BA23)),"")</f>
        <v/>
      </c>
      <c r="BI23" s="18" t="str">
        <f aca="false">IF(AND(LEN(BF23)&lt;&gt;0,LEN(BG23)&lt;&gt;0),((HOUR(BG23)*60)+MINUTE(BG23))-((HOUR(BF23)*60)+MINUTE(BF23)),"")</f>
        <v/>
      </c>
      <c r="BN23" s="18" t="str">
        <f aca="false">IF(AND(LEN(BK23)&lt;&gt;0,LEN(BL23)&lt;&gt;0),((HOUR(BL23)*60)+MINUTE(BL23))-((HOUR(BK23)*60)+MINUTE(BK23)),"")</f>
        <v/>
      </c>
      <c r="BT23" s="18" t="str">
        <f aca="false">IF(AND(LEN(BQ23)&lt;&gt;0,LEN(BR23)&lt;&gt;0),((HOUR(BR23)*60)+MINUTE(BR23))-((HOUR(BQ23)*60)+MINUTE(BQ23)),"")</f>
        <v/>
      </c>
      <c r="BY23" s="18" t="str">
        <f aca="false">IF(AND(LEN(BV23)&lt;&gt;0,LEN(BW23)&lt;&gt;0),((HOUR(BW23)*60)+MINUTE(BW23))-((HOUR(BV23)*60)+MINUTE(BV23)),"")</f>
        <v/>
      </c>
      <c r="BZ23" s="19" t="s">
        <v>30</v>
      </c>
      <c r="CA23" s="19" t="n">
        <v>0.704166666666667</v>
      </c>
      <c r="CB23" s="19" t="n">
        <v>0.722222222222222</v>
      </c>
      <c r="CC23" s="1" t="str">
        <f aca="false">"[""" &amp; BZ23 &amp; """, """ &amp; IF(CA23="","",TEXT(CA23,"h:mm")) &amp; """, """ &amp; IF(CB23="","",TEXT(CB23,"h:mm")) &amp; """],"</f>
        <v>["菱浦", "16:54", "17:20"],</v>
      </c>
      <c r="CD23" s="18" t="n">
        <f aca="false">IF(AND(LEN(CA23)&lt;&gt;0,LEN(CB23)&lt;&gt;0),((HOUR(CB23)*60)+MINUTE(CB23))-((HOUR(CA23)*60)+MINUTE(CA23)),"")</f>
        <v>26</v>
      </c>
      <c r="CI23" s="1" t="s">
        <v>33</v>
      </c>
      <c r="CJ23" s="18" t="str">
        <f aca="false">IF(AND(LEN(CG23)&lt;&gt;0,LEN(CH23)&lt;&gt;0),((HOUR(CH23)*60)+MINUTE(CH23))-((HOUR(CG23)*60)+MINUTE(CG23)),"")</f>
        <v/>
      </c>
      <c r="CK23" s="19" t="s">
        <v>30</v>
      </c>
      <c r="CL23" s="19" t="n">
        <v>0.554166666666667</v>
      </c>
      <c r="CM23" s="19" t="n">
        <v>0.55625</v>
      </c>
      <c r="CN23" s="1" t="str">
        <f aca="false">"[""" &amp; CK23 &amp; """, """ &amp; IF(CL23="","",TEXT(CL23,"h:mm")) &amp; """, """ &amp; IF(CM23="","",TEXT(CM23,"h:mm")) &amp; """],"</f>
        <v>["菱浦", "13:18", "13:21"],</v>
      </c>
      <c r="CO23" s="18" t="n">
        <f aca="false">IF(AND(LEN(CL23)&lt;&gt;0,LEN(CM23)&lt;&gt;0),((HOUR(CM23)*60)+MINUTE(CM23))-((HOUR(CL23)*60)+MINUTE(CL23)),"")</f>
        <v>3</v>
      </c>
      <c r="CP23" s="19" t="s">
        <v>30</v>
      </c>
      <c r="CQ23" s="19" t="n">
        <v>0.554166666666667</v>
      </c>
      <c r="CR23" s="19" t="n">
        <v>0.55625</v>
      </c>
      <c r="CS23" s="1" t="str">
        <f aca="false">"[""" &amp; CP23 &amp; """, """ &amp; IF(CQ23="","",TEXT(CQ23,"h:mm")) &amp; """, """ &amp; IF(CR23="","",TEXT(CR23,"h:mm")) &amp; """],"</f>
        <v>["菱浦", "13:18", "13:21"],</v>
      </c>
      <c r="CT23" s="18" t="n">
        <f aca="false">IF(AND(LEN(CQ23)&lt;&gt;0,LEN(CR23)&lt;&gt;0),((HOUR(CR23)*60)+MINUTE(CR23))-((HOUR(CQ23)*60)+MINUTE(CQ23)),"")</f>
        <v>3</v>
      </c>
      <c r="CY23" s="18"/>
      <c r="CZ23" s="19" t="s">
        <v>30</v>
      </c>
      <c r="DA23" s="19" t="n">
        <v>0.727083333333333</v>
      </c>
      <c r="DB23" s="29" t="n">
        <v>0.75625</v>
      </c>
      <c r="DC23" s="1" t="str">
        <f aca="false">"[""" &amp; CZ23 &amp; """, """ &amp; IF(DA23="","",TEXT(DA23,"h:mm")) &amp; """, """ &amp; IF(DB23="","",TEXT(DB23,"h:mm")) &amp; """],"</f>
        <v>["菱浦", "17:27", "18:09"],</v>
      </c>
      <c r="DD23" s="18" t="n">
        <f aca="false">IF(AND(LEN(DA23)&lt;&gt;0,LEN(DB23)&lt;&gt;0),((HOUR(DB23)*60)+MINUTE(DB23))-((HOUR(DA23)*60)+MINUTE(DA23)),"")</f>
        <v>42</v>
      </c>
      <c r="DE23" s="19" t="s">
        <v>30</v>
      </c>
      <c r="DF23" s="19" t="n">
        <v>0.727083333333333</v>
      </c>
      <c r="DG23" s="29" t="n">
        <v>0.763194444444444</v>
      </c>
      <c r="DH23" s="1" t="str">
        <f aca="false">"[""" &amp; DE23 &amp; """, """ &amp; IF(DF23="","",TEXT(DF23,"h:mm")) &amp; """, """ &amp; IF(DG23="","",TEXT(DG23,"h:mm")) &amp; """],"</f>
        <v>["菱浦", "17:27", "18:19"],</v>
      </c>
      <c r="DI23" s="18" t="n">
        <f aca="false">IF(AND(LEN(DF23)&lt;&gt;0,LEN(DG23)&lt;&gt;0),((HOUR(DG23)*60)+MINUTE(DG23))-((HOUR(DF23)*60)+MINUTE(DF23)),"")</f>
        <v>52</v>
      </c>
    </row>
    <row r="24" customFormat="false" ht="18" hidden="false" customHeight="false" outlineLevel="0" collapsed="false">
      <c r="E24" s="18" t="str">
        <f aca="false">IF(AND(LEN(B24)&lt;&gt;0,LEN(C24)&lt;&gt;0),((HOUR(C24)*60)+MINUTE(C24))-((HOUR(B24)*60)+MINUTE(B24)),"")</f>
        <v/>
      </c>
      <c r="J24" s="18" t="str">
        <f aca="false">IF(AND(LEN(G24)&lt;&gt;0,LEN(H24)&lt;&gt;0),((HOUR(H24)*60)+MINUTE(H24))-((HOUR(G24)*60)+MINUTE(G24)),"")</f>
        <v/>
      </c>
      <c r="O24" s="18" t="str">
        <f aca="false">IF(AND(LEN(L24)&lt;&gt;0,LEN(M24)&lt;&gt;0),((HOUR(M24)*60)+MINUTE(M24))-((HOUR(L24)*60)+MINUTE(L24)),"")</f>
        <v/>
      </c>
      <c r="T24" s="18" t="str">
        <f aca="false">IF(AND(LEN(Q24)&lt;&gt;0,LEN(R24)&lt;&gt;0),((HOUR(R24)*60)+MINUTE(R24))-((HOUR(Q24)*60)+MINUTE(Q24)),"")</f>
        <v/>
      </c>
      <c r="Y24" s="18" t="str">
        <f aca="false">IF(AND(LEN(V24)&lt;&gt;0,LEN(W24)&lt;&gt;0),((HOUR(W24)*60)+MINUTE(W24))-((HOUR(V24)*60)+MINUTE(V24)),"")</f>
        <v/>
      </c>
      <c r="AD24" s="18" t="str">
        <f aca="false">IF(AND(LEN(AA24)&lt;&gt;0,LEN(AB24)&lt;&gt;0),((HOUR(AB24)*60)+MINUTE(AB24))-((HOUR(AA24)*60)+MINUTE(AA24)),"")</f>
        <v/>
      </c>
      <c r="AI24" s="18" t="str">
        <f aca="false">IF(AND(LEN(AF24)&lt;&gt;0,LEN(AG24)&lt;&gt;0),((HOUR(AG24)*60)+MINUTE(AG24))-((HOUR(AF24)*60)+MINUTE(AF24)),"")</f>
        <v/>
      </c>
      <c r="AN24" s="18" t="str">
        <f aca="false">IF(AND(LEN(AK24)&lt;&gt;0,LEN(AL24)&lt;&gt;0),((HOUR(AL24)*60)+MINUTE(AL24))-((HOUR(AK24)*60)+MINUTE(AK24)),"")</f>
        <v/>
      </c>
      <c r="AT24" s="18" t="str">
        <f aca="false">IF(AND(LEN(AQ24)&lt;&gt;0,LEN(AR24)&lt;&gt;0),((HOUR(AR24)*60)+MINUTE(AR24))-((HOUR(AQ24)*60)+MINUTE(AQ24)),"")</f>
        <v/>
      </c>
      <c r="AY24" s="18" t="str">
        <f aca="false">IF(AND(LEN(AV24)&lt;&gt;0,LEN(AW24)&lt;&gt;0),((HOUR(AW24)*60)+MINUTE(AW24))-((HOUR(AV24)*60)+MINUTE(AV24)),"")</f>
        <v/>
      </c>
      <c r="BD24" s="18" t="str">
        <f aca="false">IF(AND(LEN(BA24)&lt;&gt;0,LEN(BB24)&lt;&gt;0),((HOUR(BB24)*60)+MINUTE(BB24))-((HOUR(BA24)*60)+MINUTE(BA24)),"")</f>
        <v/>
      </c>
      <c r="BI24" s="18" t="str">
        <f aca="false">IF(AND(LEN(BF24)&lt;&gt;0,LEN(BG24)&lt;&gt;0),((HOUR(BG24)*60)+MINUTE(BG24))-((HOUR(BF24)*60)+MINUTE(BF24)),"")</f>
        <v/>
      </c>
      <c r="BN24" s="18" t="str">
        <f aca="false">IF(AND(LEN(BK24)&lt;&gt;0,LEN(BL24)&lt;&gt;0),((HOUR(BL24)*60)+MINUTE(BL24))-((HOUR(BK24)*60)+MINUTE(BK24)),"")</f>
        <v/>
      </c>
      <c r="BT24" s="18" t="str">
        <f aca="false">IF(AND(LEN(BQ24)&lt;&gt;0,LEN(BR24)&lt;&gt;0),((HOUR(BR24)*60)+MINUTE(BR24))-((HOUR(BQ24)*60)+MINUTE(BQ24)),"")</f>
        <v/>
      </c>
      <c r="BY24" s="18" t="str">
        <f aca="false">IF(AND(LEN(BV24)&lt;&gt;0,LEN(BW24)&lt;&gt;0),((HOUR(BW24)*60)+MINUTE(BW24))-((HOUR(BV24)*60)+MINUTE(BV24)),"")</f>
        <v/>
      </c>
      <c r="BZ24" s="20" t="s">
        <v>29</v>
      </c>
      <c r="CA24" s="20" t="n">
        <v>0.732638888888889</v>
      </c>
      <c r="CB24" s="20" t="n">
        <v>0.736111111111111</v>
      </c>
      <c r="CC24" s="1" t="str">
        <f aca="false">"[""" &amp; BZ24 &amp; """, """ &amp; IF(CA24="","",TEXT(CA24,"h:mm")) &amp; """, """ &amp; IF(CB24="","",TEXT(CB24,"h:mm")) &amp; """],"</f>
        <v>["別府", "17:35", "17:40"],</v>
      </c>
      <c r="CD24" s="18" t="n">
        <f aca="false">IF(AND(LEN(CA24)&lt;&gt;0,LEN(CB24)&lt;&gt;0),((HOUR(CB24)*60)+MINUTE(CB24))-((HOUR(CA24)*60)+MINUTE(CA24)),"")</f>
        <v>5</v>
      </c>
      <c r="CK24" s="20" t="s">
        <v>29</v>
      </c>
      <c r="CL24" s="20" t="n">
        <v>0.561111111111111</v>
      </c>
      <c r="CM24" s="20" t="n">
        <v>0.5625</v>
      </c>
      <c r="CN24" s="1" t="str">
        <f aca="false">"[""" &amp; CK24 &amp; """, """ &amp; IF(CL24="","",TEXT(CL24,"h:mm")) &amp; """, """ &amp; IF(CM24="","",TEXT(CM24,"h:mm")) &amp; """],"</f>
        <v>["別府", "13:28", "13:30"],</v>
      </c>
      <c r="CO24" s="18" t="n">
        <f aca="false">IF(AND(LEN(CL24)&lt;&gt;0,LEN(CM24)&lt;&gt;0),((HOUR(CM24)*60)+MINUTE(CM24))-((HOUR(CL24)*60)+MINUTE(CL24)),"")</f>
        <v>2</v>
      </c>
      <c r="CP24" s="20" t="s">
        <v>29</v>
      </c>
      <c r="CQ24" s="20" t="n">
        <v>0.561111111111111</v>
      </c>
      <c r="CR24" s="20" t="n">
        <v>0.5625</v>
      </c>
      <c r="CS24" s="1" t="str">
        <f aca="false">"[""" &amp; CP24 &amp; """, """ &amp; IF(CQ24="","",TEXT(CQ24,"h:mm")) &amp; """, """ &amp; IF(CR24="","",TEXT(CR24,"h:mm")) &amp; """],"</f>
        <v>["別府", "13:28", "13:30"],</v>
      </c>
      <c r="CT24" s="18" t="n">
        <f aca="false">IF(AND(LEN(CQ24)&lt;&gt;0,LEN(CR24)&lt;&gt;0),((HOUR(CR24)*60)+MINUTE(CR24))-((HOUR(CQ24)*60)+MINUTE(CQ24)),"")</f>
        <v>2</v>
      </c>
      <c r="CZ24" s="20" t="s">
        <v>29</v>
      </c>
      <c r="DA24" s="30" t="n">
        <v>0.761111111111111</v>
      </c>
      <c r="DB24" s="20" t="n">
        <v>0.783333333333333</v>
      </c>
      <c r="DC24" s="1" t="str">
        <f aca="false">"[""" &amp; CZ24 &amp; """, """ &amp; IF(DA24="","",TEXT(DA24,"h:mm")) &amp; """, """ &amp; IF(DB24="","",TEXT(DB24,"h:mm")) &amp; """],"</f>
        <v>["別府", "18:16", "18:48"],</v>
      </c>
      <c r="DD24" s="18" t="n">
        <f aca="false">IF(AND(LEN(DA24)&lt;&gt;0,LEN(DB24)&lt;&gt;0),((HOUR(DB24)*60)+MINUTE(DB24))-((HOUR(DA24)*60)+MINUTE(DA24)),"")</f>
        <v>32</v>
      </c>
      <c r="DE24" s="20" t="s">
        <v>29</v>
      </c>
      <c r="DF24" s="30" t="n">
        <v>0.768055555555556</v>
      </c>
      <c r="DG24" s="20" t="n">
        <v>0.783333333333333</v>
      </c>
      <c r="DH24" s="1" t="str">
        <f aca="false">"[""" &amp; DE24 &amp; """, """ &amp; IF(DF24="","",TEXT(DF24,"h:mm")) &amp; """, """ &amp; IF(DG24="","",TEXT(DG24,"h:mm")) &amp; """],"</f>
        <v>["別府", "18:26", "18:48"],</v>
      </c>
      <c r="DI24" s="18" t="n">
        <f aca="false">IF(AND(LEN(DF24)&lt;&gt;0,LEN(DG24)&lt;&gt;0),((HOUR(DG24)*60)+MINUTE(DG24))-((HOUR(DF24)*60)+MINUTE(DF24)),"")</f>
        <v>22</v>
      </c>
    </row>
    <row r="25" customFormat="false" ht="18" hidden="false" customHeight="false" outlineLevel="0" collapsed="false">
      <c r="E25" s="18" t="str">
        <f aca="false">IF(AND(LEN(B25)&lt;&gt;0,LEN(C25)&lt;&gt;0),((HOUR(C25)*60)+MINUTE(C25))-((HOUR(B25)*60)+MINUTE(B25)),"")</f>
        <v/>
      </c>
      <c r="J25" s="18" t="str">
        <f aca="false">IF(AND(LEN(G25)&lt;&gt;0,LEN(H25)&lt;&gt;0),((HOUR(H25)*60)+MINUTE(H25))-((HOUR(G25)*60)+MINUTE(G25)),"")</f>
        <v/>
      </c>
      <c r="O25" s="18" t="str">
        <f aca="false">IF(AND(LEN(L25)&lt;&gt;0,LEN(M25)&lt;&gt;0),((HOUR(M25)*60)+MINUTE(M25))-((HOUR(L25)*60)+MINUTE(L25)),"")</f>
        <v/>
      </c>
      <c r="T25" s="18" t="str">
        <f aca="false">IF(AND(LEN(Q25)&lt;&gt;0,LEN(R25)&lt;&gt;0),((HOUR(R25)*60)+MINUTE(R25))-((HOUR(Q25)*60)+MINUTE(Q25)),"")</f>
        <v/>
      </c>
      <c r="Y25" s="18" t="str">
        <f aca="false">IF(AND(LEN(V25)&lt;&gt;0,LEN(W25)&lt;&gt;0),((HOUR(W25)*60)+MINUTE(W25))-((HOUR(V25)*60)+MINUTE(V25)),"")</f>
        <v/>
      </c>
      <c r="AD25" s="18" t="str">
        <f aca="false">IF(AND(LEN(AA25)&lt;&gt;0,LEN(AB25)&lt;&gt;0),((HOUR(AB25)*60)+MINUTE(AB25))-((HOUR(AA25)*60)+MINUTE(AA25)),"")</f>
        <v/>
      </c>
      <c r="AI25" s="18" t="str">
        <f aca="false">IF(AND(LEN(AF25)&lt;&gt;0,LEN(AG25)&lt;&gt;0),((HOUR(AG25)*60)+MINUTE(AG25))-((HOUR(AF25)*60)+MINUTE(AF25)),"")</f>
        <v/>
      </c>
      <c r="AN25" s="18" t="str">
        <f aca="false">IF(AND(LEN(AK25)&lt;&gt;0,LEN(AL25)&lt;&gt;0),((HOUR(AL25)*60)+MINUTE(AL25))-((HOUR(AK25)*60)+MINUTE(AK25)),"")</f>
        <v/>
      </c>
      <c r="AT25" s="18" t="str">
        <f aca="false">IF(AND(LEN(AQ25)&lt;&gt;0,LEN(AR25)&lt;&gt;0),((HOUR(AR25)*60)+MINUTE(AR25))-((HOUR(AQ25)*60)+MINUTE(AQ25)),"")</f>
        <v/>
      </c>
      <c r="AY25" s="18" t="str">
        <f aca="false">IF(AND(LEN(AV25)&lt;&gt;0,LEN(AW25)&lt;&gt;0),((HOUR(AW25)*60)+MINUTE(AW25))-((HOUR(AV25)*60)+MINUTE(AV25)),"")</f>
        <v/>
      </c>
      <c r="BD25" s="18" t="str">
        <f aca="false">IF(AND(LEN(BA25)&lt;&gt;0,LEN(BB25)&lt;&gt;0),((HOUR(BB25)*60)+MINUTE(BB25))-((HOUR(BA25)*60)+MINUTE(BA25)),"")</f>
        <v/>
      </c>
      <c r="BI25" s="18" t="str">
        <f aca="false">IF(AND(LEN(BF25)&lt;&gt;0,LEN(BG25)&lt;&gt;0),((HOUR(BG25)*60)+MINUTE(BG25))-((HOUR(BF25)*60)+MINUTE(BF25)),"")</f>
        <v/>
      </c>
      <c r="BN25" s="18" t="str">
        <f aca="false">IF(AND(LEN(BK25)&lt;&gt;0,LEN(BL25)&lt;&gt;0),((HOUR(BL25)*60)+MINUTE(BL25))-((HOUR(BK25)*60)+MINUTE(BK25)),"")</f>
        <v/>
      </c>
      <c r="BT25" s="18" t="str">
        <f aca="false">IF(AND(LEN(BQ25)&lt;&gt;0,LEN(BR25)&lt;&gt;0),((HOUR(BR25)*60)+MINUTE(BR25))-((HOUR(BQ25)*60)+MINUTE(BQ25)),"")</f>
        <v/>
      </c>
      <c r="BY25" s="18" t="str">
        <f aca="false">IF(AND(LEN(BV25)&lt;&gt;0,LEN(BW25)&lt;&gt;0),((HOUR(BW25)*60)+MINUTE(BW25))-((HOUR(BV25)*60)+MINUTE(BV25)),"")</f>
        <v/>
      </c>
      <c r="BZ25" s="19" t="s">
        <v>30</v>
      </c>
      <c r="CA25" s="19" t="n">
        <v>0.744444444444445</v>
      </c>
      <c r="CB25" s="19"/>
      <c r="CC25" s="1" t="str">
        <f aca="false">"[""" &amp; BZ25 &amp; """, """ &amp; IF(CA25="","",TEXT(CA25,"h:mm")) &amp; """, """ &amp; IF(CB25="","",TEXT(CB25,"h:mm")) &amp; """]"</f>
        <v>["菱浦", "17:52", ""]</v>
      </c>
      <c r="CD25" s="18" t="str">
        <f aca="false">IF(AND(LEN(CA25)&lt;&gt;0,LEN(CB25)&lt;&gt;0),((HOUR(CB25)*60)+MINUTE(CB25))-((HOUR(CA25)*60)+MINUTE(CA25)),"")</f>
        <v/>
      </c>
      <c r="CK25" s="21" t="s">
        <v>31</v>
      </c>
      <c r="CL25" s="22" t="n">
        <v>0.574305555555556</v>
      </c>
      <c r="CM25" s="22" t="n">
        <v>0.576388888888889</v>
      </c>
      <c r="CN25" s="1" t="str">
        <f aca="false">"[""" &amp; CK25 &amp; """, """ &amp; IF(CL25="","",TEXT(CL25,"h:mm")) &amp; """, """ &amp; IF(CM25="","",TEXT(CM25,"h:mm")) &amp; """],"</f>
        <v>["来居", "13:47", "13:50"],</v>
      </c>
      <c r="CO25" s="18" t="n">
        <f aca="false">IF(AND(LEN(CL25)&lt;&gt;0,LEN(CM25)&lt;&gt;0),((HOUR(CM25)*60)+MINUTE(CM25))-((HOUR(CL25)*60)+MINUTE(CL25)),"")</f>
        <v>3</v>
      </c>
      <c r="CP25" s="21" t="s">
        <v>31</v>
      </c>
      <c r="CQ25" s="22" t="n">
        <v>0.574305555555556</v>
      </c>
      <c r="CR25" s="22" t="n">
        <v>0.576388888888889</v>
      </c>
      <c r="CS25" s="1" t="str">
        <f aca="false">"[""" &amp; CP25 &amp; """, """ &amp; IF(CQ25="","",TEXT(CQ25,"h:mm")) &amp; """, """ &amp; IF(CR25="","",TEXT(CR25,"h:mm")) &amp; """],"</f>
        <v>["来居", "13:47", "13:50"],</v>
      </c>
      <c r="CT25" s="18" t="n">
        <f aca="false">IF(AND(LEN(CQ25)&lt;&gt;0,LEN(CR25)&lt;&gt;0),((HOUR(CR25)*60)+MINUTE(CR25))-((HOUR(CQ25)*60)+MINUTE(CQ25)),"")</f>
        <v>3</v>
      </c>
      <c r="CZ25" s="19" t="s">
        <v>30</v>
      </c>
      <c r="DA25" s="19" t="n">
        <v>0.788888888888889</v>
      </c>
      <c r="DB25" s="19" t="n">
        <v>0.790277777777778</v>
      </c>
      <c r="DC25" s="1" t="str">
        <f aca="false">"[""" &amp; CZ25 &amp; """, """ &amp; IF(DA25="","",TEXT(DA25,"h:mm")) &amp; """, """ &amp; IF(DB25="","",TEXT(DB25,"h:mm")) &amp; """],"</f>
        <v>["菱浦", "18:56", "18:58"],</v>
      </c>
      <c r="DD25" s="18" t="n">
        <f aca="false">IF(AND(LEN(DA25)&lt;&gt;0,LEN(DB25)&lt;&gt;0),((HOUR(DB25)*60)+MINUTE(DB25))-((HOUR(DA25)*60)+MINUTE(DA25)),"")</f>
        <v>2</v>
      </c>
      <c r="DE25" s="19" t="s">
        <v>30</v>
      </c>
      <c r="DF25" s="19" t="n">
        <v>0.788888888888889</v>
      </c>
      <c r="DG25" s="19" t="n">
        <v>0.790277777777778</v>
      </c>
      <c r="DH25" s="1" t="str">
        <f aca="false">"[""" &amp; DE25 &amp; """, """ &amp; IF(DF25="","",TEXT(DF25,"h:mm")) &amp; """, """ &amp; IF(DG25="","",TEXT(DG25,"h:mm")) &amp; """],"</f>
        <v>["菱浦", "18:56", "18:58"],</v>
      </c>
      <c r="DI25" s="18" t="n">
        <f aca="false">IF(AND(LEN(DF25)&lt;&gt;0,LEN(DG25)&lt;&gt;0),((HOUR(DG25)*60)+MINUTE(DG25))-((HOUR(DF25)*60)+MINUTE(DF25)),"")</f>
        <v>2</v>
      </c>
    </row>
    <row r="26" customFormat="false" ht="18" hidden="false" customHeight="false" outlineLevel="0" collapsed="false">
      <c r="E26" s="18" t="str">
        <f aca="false">IF(AND(LEN(B26)&lt;&gt;0,LEN(C26)&lt;&gt;0),((HOUR(C26)*60)+MINUTE(C26))-((HOUR(B26)*60)+MINUTE(B26)),"")</f>
        <v/>
      </c>
      <c r="J26" s="18" t="str">
        <f aca="false">IF(AND(LEN(G26)&lt;&gt;0,LEN(H26)&lt;&gt;0),((HOUR(H26)*60)+MINUTE(H26))-((HOUR(G26)*60)+MINUTE(G26)),"")</f>
        <v/>
      </c>
      <c r="O26" s="18" t="str">
        <f aca="false">IF(AND(LEN(L26)&lt;&gt;0,LEN(M26)&lt;&gt;0),((HOUR(M26)*60)+MINUTE(M26))-((HOUR(L26)*60)+MINUTE(L26)),"")</f>
        <v/>
      </c>
      <c r="T26" s="18" t="str">
        <f aca="false">IF(AND(LEN(Q26)&lt;&gt;0,LEN(R26)&lt;&gt;0),((HOUR(R26)*60)+MINUTE(R26))-((HOUR(Q26)*60)+MINUTE(Q26)),"")</f>
        <v/>
      </c>
      <c r="Y26" s="18" t="str">
        <f aca="false">IF(AND(LEN(V26)&lt;&gt;0,LEN(W26)&lt;&gt;0),((HOUR(W26)*60)+MINUTE(W26))-((HOUR(V26)*60)+MINUTE(V26)),"")</f>
        <v/>
      </c>
      <c r="AD26" s="18" t="str">
        <f aca="false">IF(AND(LEN(AA26)&lt;&gt;0,LEN(AB26)&lt;&gt;0),((HOUR(AB26)*60)+MINUTE(AB26))-((HOUR(AA26)*60)+MINUTE(AA26)),"")</f>
        <v/>
      </c>
      <c r="AI26" s="18" t="str">
        <f aca="false">IF(AND(LEN(AF26)&lt;&gt;0,LEN(AG26)&lt;&gt;0),((HOUR(AG26)*60)+MINUTE(AG26))-((HOUR(AF26)*60)+MINUTE(AF26)),"")</f>
        <v/>
      </c>
      <c r="AN26" s="18" t="str">
        <f aca="false">IF(AND(LEN(AK26)&lt;&gt;0,LEN(AL26)&lt;&gt;0),((HOUR(AL26)*60)+MINUTE(AL26))-((HOUR(AK26)*60)+MINUTE(AK26)),"")</f>
        <v/>
      </c>
      <c r="AT26" s="18" t="str">
        <f aca="false">IF(AND(LEN(AQ26)&lt;&gt;0,LEN(AR26)&lt;&gt;0),((HOUR(AR26)*60)+MINUTE(AR26))-((HOUR(AQ26)*60)+MINUTE(AQ26)),"")</f>
        <v/>
      </c>
      <c r="AY26" s="18" t="str">
        <f aca="false">IF(AND(LEN(AV26)&lt;&gt;0,LEN(AW26)&lt;&gt;0),((HOUR(AW26)*60)+MINUTE(AW26))-((HOUR(AV26)*60)+MINUTE(AV26)),"")</f>
        <v/>
      </c>
      <c r="BD26" s="18" t="str">
        <f aca="false">IF(AND(LEN(BA26)&lt;&gt;0,LEN(BB26)&lt;&gt;0),((HOUR(BB26)*60)+MINUTE(BB26))-((HOUR(BA26)*60)+MINUTE(BA26)),"")</f>
        <v/>
      </c>
      <c r="BI26" s="18" t="str">
        <f aca="false">IF(AND(LEN(BF26)&lt;&gt;0,LEN(BG26)&lt;&gt;0),((HOUR(BG26)*60)+MINUTE(BG26))-((HOUR(BF26)*60)+MINUTE(BF26)),"")</f>
        <v/>
      </c>
      <c r="BN26" s="18" t="str">
        <f aca="false">IF(AND(LEN(BK26)&lt;&gt;0,LEN(BL26)&lt;&gt;0),((HOUR(BL26)*60)+MINUTE(BL26))-((HOUR(BK26)*60)+MINUTE(BK26)),"")</f>
        <v/>
      </c>
      <c r="BT26" s="18" t="str">
        <f aca="false">IF(AND(LEN(BQ26)&lt;&gt;0,LEN(BR26)&lt;&gt;0),((HOUR(BR26)*60)+MINUTE(BR26))-((HOUR(BQ26)*60)+MINUTE(BQ26)),"")</f>
        <v/>
      </c>
      <c r="BY26" s="18" t="str">
        <f aca="false">IF(AND(LEN(BV26)&lt;&gt;0,LEN(BW26)&lt;&gt;0),((HOUR(BW26)*60)+MINUTE(BW26))-((HOUR(BV26)*60)+MINUTE(BV26)),"")</f>
        <v/>
      </c>
      <c r="CC26" s="1" t="s">
        <v>33</v>
      </c>
      <c r="CD26" s="18" t="str">
        <f aca="false">IF(AND(LEN(CA26)&lt;&gt;0,LEN(CB26)&lt;&gt;0),((HOUR(CB26)*60)+MINUTE(CB26))-((HOUR(CA26)*60)+MINUTE(CA26)),"")</f>
        <v/>
      </c>
      <c r="CK26" s="20" t="s">
        <v>29</v>
      </c>
      <c r="CL26" s="20" t="n">
        <v>0.588194444444445</v>
      </c>
      <c r="CM26" s="20" t="n">
        <v>0.590277777777778</v>
      </c>
      <c r="CN26" s="1" t="str">
        <f aca="false">"[""" &amp; CK26 &amp; """, """ &amp; IF(CL26="","",TEXT(CL26,"h:mm")) &amp; """, """ &amp; IF(CM26="","",TEXT(CM26,"h:mm")) &amp; """],"</f>
        <v>["別府", "14:07", "14:10"],</v>
      </c>
      <c r="CO26" s="18" t="n">
        <f aca="false">IF(AND(LEN(CL26)&lt;&gt;0,LEN(CM26)&lt;&gt;0),((HOUR(CM26)*60)+MINUTE(CM26))-((HOUR(CL26)*60)+MINUTE(CL26)),"")</f>
        <v>3</v>
      </c>
      <c r="CP26" s="20" t="s">
        <v>29</v>
      </c>
      <c r="CQ26" s="20" t="n">
        <v>0.588194444444445</v>
      </c>
      <c r="CR26" s="20" t="n">
        <v>0.590277777777778</v>
      </c>
      <c r="CS26" s="1" t="str">
        <f aca="false">"[""" &amp; CP26 &amp; """, """ &amp; IF(CQ26="","",TEXT(CQ26,"h:mm")) &amp; """, """ &amp; IF(CR26="","",TEXT(CR26,"h:mm")) &amp; """],"</f>
        <v>["別府", "14:07", "14:10"],</v>
      </c>
      <c r="CT26" s="18" t="n">
        <f aca="false">IF(AND(LEN(CQ26)&lt;&gt;0,LEN(CR26)&lt;&gt;0),((HOUR(CR26)*60)+MINUTE(CR26))-((HOUR(CQ26)*60)+MINUTE(CQ26)),"")</f>
        <v>3</v>
      </c>
      <c r="CZ26" s="20" t="s">
        <v>29</v>
      </c>
      <c r="DA26" s="20" t="n">
        <v>0.795833333333333</v>
      </c>
      <c r="DB26" s="20" t="n">
        <v>0.797222222222222</v>
      </c>
      <c r="DC26" s="1" t="str">
        <f aca="false">"[""" &amp; CZ26 &amp; """, """ &amp; IF(DA26="","",TEXT(DA26,"h:mm")) &amp; """, """ &amp; IF(DB26="","",TEXT(DB26,"h:mm")) &amp; """],"</f>
        <v>["別府", "19:06", "19:08"],</v>
      </c>
      <c r="DD26" s="18" t="n">
        <f aca="false">IF(AND(LEN(DA26)&lt;&gt;0,LEN(DB26)&lt;&gt;0),((HOUR(DB26)*60)+MINUTE(DB26))-((HOUR(DA26)*60)+MINUTE(DA26)),"")</f>
        <v>2</v>
      </c>
      <c r="DE26" s="20" t="s">
        <v>29</v>
      </c>
      <c r="DF26" s="20" t="n">
        <v>0.795833333333333</v>
      </c>
      <c r="DG26" s="20" t="n">
        <v>0.797222222222222</v>
      </c>
      <c r="DH26" s="1" t="str">
        <f aca="false">"[""" &amp; DE26 &amp; """, """ &amp; IF(DF26="","",TEXT(DF26,"h:mm")) &amp; """, """ &amp; IF(DG26="","",TEXT(DG26,"h:mm")) &amp; """],"</f>
        <v>["別府", "19:06", "19:08"],</v>
      </c>
      <c r="DI26" s="18" t="n">
        <f aca="false">IF(AND(LEN(DF26)&lt;&gt;0,LEN(DG26)&lt;&gt;0),((HOUR(DG26)*60)+MINUTE(DG26))-((HOUR(DF26)*60)+MINUTE(DF26)),"")</f>
        <v>2</v>
      </c>
    </row>
    <row r="27" customFormat="false" ht="18" hidden="false" customHeight="false" outlineLevel="0" collapsed="false">
      <c r="CK27" s="19" t="s">
        <v>30</v>
      </c>
      <c r="CL27" s="19" t="n">
        <v>0.595138888888889</v>
      </c>
      <c r="CM27" s="19" t="n">
        <v>0.596527777777778</v>
      </c>
      <c r="CN27" s="1" t="str">
        <f aca="false">"[""" &amp; CK27 &amp; """, """ &amp; IF(CL27="","",TEXT(CL27,"h:mm")) &amp; """, """ &amp; IF(CM27="","",TEXT(CM27,"h:mm")) &amp; """],"</f>
        <v>["菱浦", "14:17", "14:19"],</v>
      </c>
      <c r="CO27" s="18" t="n">
        <f aca="false">IF(AND(LEN(CL27)&lt;&gt;0,LEN(CM27)&lt;&gt;0),((HOUR(CM27)*60)+MINUTE(CM27))-((HOUR(CL27)*60)+MINUTE(CL27)),"")</f>
        <v>2</v>
      </c>
      <c r="CP27" s="19" t="s">
        <v>30</v>
      </c>
      <c r="CQ27" s="19" t="n">
        <v>0.595138888888889</v>
      </c>
      <c r="CR27" s="19" t="n">
        <v>0.596527777777778</v>
      </c>
      <c r="CS27" s="1" t="str">
        <f aca="false">"[""" &amp; CP27 &amp; """, """ &amp; IF(CQ27="","",TEXT(CQ27,"h:mm")) &amp; """, """ &amp; IF(CR27="","",TEXT(CR27,"h:mm")) &amp; """],"</f>
        <v>["菱浦", "14:17", "14:19"],</v>
      </c>
      <c r="CT27" s="18" t="n">
        <f aca="false">IF(AND(LEN(CQ27)&lt;&gt;0,LEN(CR27)&lt;&gt;0),((HOUR(CR27)*60)+MINUTE(CR27))-((HOUR(CQ27)*60)+MINUTE(CQ27)),"")</f>
        <v>2</v>
      </c>
      <c r="CZ27" s="19" t="s">
        <v>30</v>
      </c>
      <c r="DA27" s="19" t="n">
        <v>0.802777777777778</v>
      </c>
      <c r="DB27" s="19" t="n">
        <v>0.827083333333333</v>
      </c>
      <c r="DC27" s="1" t="str">
        <f aca="false">"[""" &amp; CZ27 &amp; """, """ &amp; IF(DA27="","",TEXT(DA27,"h:mm")) &amp; """, """ &amp; IF(DB27="","",TEXT(DB27,"h:mm")) &amp; """],"</f>
        <v>["菱浦", "19:16", "19:51"],</v>
      </c>
      <c r="DD27" s="18" t="n">
        <f aca="false">IF(AND(LEN(DA27)&lt;&gt;0,LEN(DB27)&lt;&gt;0),((HOUR(DB27)*60)+MINUTE(DB27))-((HOUR(DA27)*60)+MINUTE(DA27)),"")</f>
        <v>35</v>
      </c>
      <c r="DE27" s="19" t="s">
        <v>30</v>
      </c>
      <c r="DF27" s="19" t="n">
        <v>0.802777777777778</v>
      </c>
      <c r="DG27" s="19" t="n">
        <v>0.827083333333333</v>
      </c>
      <c r="DH27" s="1" t="str">
        <f aca="false">"[""" &amp; DE27 &amp; """, """ &amp; IF(DF27="","",TEXT(DF27,"h:mm")) &amp; """, """ &amp; IF(DG27="","",TEXT(DG27,"h:mm")) &amp; """],"</f>
        <v>["菱浦", "19:16", "19:51"],</v>
      </c>
      <c r="DI27" s="18" t="n">
        <f aca="false">IF(AND(LEN(DF27)&lt;&gt;0,LEN(DG27)&lt;&gt;0),((HOUR(DG27)*60)+MINUTE(DG27))-((HOUR(DF27)*60)+MINUTE(DF27)),"")</f>
        <v>35</v>
      </c>
    </row>
    <row r="28" customFormat="false" ht="18" hidden="false" customHeight="false" outlineLevel="0" collapsed="false">
      <c r="CK28" s="21" t="s">
        <v>31</v>
      </c>
      <c r="CL28" s="22" t="n">
        <v>0.609027777777778</v>
      </c>
      <c r="CM28" s="22" t="n">
        <v>0.625</v>
      </c>
      <c r="CN28" s="1" t="str">
        <f aca="false">"[""" &amp; CK28 &amp; """, """ &amp; IF(CL28="","",TEXT(CL28,"h:mm")) &amp; """, """ &amp; IF(CM28="","",TEXT(CM28,"h:mm")) &amp; """],"</f>
        <v>["来居", "14:37", "15:00"],</v>
      </c>
      <c r="CO28" s="18" t="n">
        <f aca="false">IF(AND(LEN(CL28)&lt;&gt;0,LEN(CM28)&lt;&gt;0),((HOUR(CM28)*60)+MINUTE(CM28))-((HOUR(CL28)*60)+MINUTE(CL28)),"")</f>
        <v>23</v>
      </c>
      <c r="CP28" s="21" t="s">
        <v>31</v>
      </c>
      <c r="CQ28" s="22" t="n">
        <v>0.609027777777778</v>
      </c>
      <c r="CR28" s="22" t="n">
        <v>0.625</v>
      </c>
      <c r="CS28" s="1" t="str">
        <f aca="false">"[""" &amp; CP28 &amp; """, """ &amp; IF(CQ28="","",TEXT(CQ28,"h:mm")) &amp; """, """ &amp; IF(CR28="","",TEXT(CR28,"h:mm")) &amp; """],"</f>
        <v>["来居", "14:37", "15:00"],</v>
      </c>
      <c r="CT28" s="18" t="n">
        <f aca="false">IF(AND(LEN(CQ28)&lt;&gt;0,LEN(CR28)&lt;&gt;0),((HOUR(CR28)*60)+MINUTE(CR28))-((HOUR(CQ28)*60)+MINUTE(CQ28)),"")</f>
        <v>23</v>
      </c>
      <c r="CZ28" s="20" t="s">
        <v>29</v>
      </c>
      <c r="DA28" s="20" t="n">
        <v>0.832638888888889</v>
      </c>
      <c r="DB28" s="20" t="n">
        <v>0.834027777777778</v>
      </c>
      <c r="DC28" s="1" t="str">
        <f aca="false">"[""" &amp; CZ28 &amp; """, """ &amp; IF(DA28="","",TEXT(DA28,"h:mm")) &amp; """, """ &amp; IF(DB28="","",TEXT(DB28,"h:mm")) &amp; """],"</f>
        <v>["別府", "19:59", "20:01"],</v>
      </c>
      <c r="DD28" s="18" t="n">
        <f aca="false">IF(AND(LEN(DA28)&lt;&gt;0,LEN(DB28)&lt;&gt;0),((HOUR(DB28)*60)+MINUTE(DB28))-((HOUR(DA28)*60)+MINUTE(DA28)),"")</f>
        <v>2</v>
      </c>
      <c r="DE28" s="20" t="s">
        <v>29</v>
      </c>
      <c r="DF28" s="20" t="n">
        <v>0.832638888888889</v>
      </c>
      <c r="DG28" s="20" t="n">
        <v>0.834027777777778</v>
      </c>
      <c r="DH28" s="1" t="str">
        <f aca="false">"[""" &amp; DE28 &amp; """, """ &amp; IF(DF28="","",TEXT(DF28,"h:mm")) &amp; """, """ &amp; IF(DG28="","",TEXT(DG28,"h:mm")) &amp; """],"</f>
        <v>["別府", "19:59", "20:01"],</v>
      </c>
      <c r="DI28" s="18" t="n">
        <f aca="false">IF(AND(LEN(DF28)&lt;&gt;0,LEN(DG28)&lt;&gt;0),((HOUR(DG28)*60)+MINUTE(DG28))-((HOUR(DF28)*60)+MINUTE(DF28)),"")</f>
        <v>2</v>
      </c>
    </row>
    <row r="29" customFormat="false" ht="18" hidden="false" customHeight="false" outlineLevel="0" collapsed="false">
      <c r="CK29" s="20" t="s">
        <v>29</v>
      </c>
      <c r="CL29" s="20" t="n">
        <v>0.636805555555556</v>
      </c>
      <c r="CM29" s="20" t="n">
        <v>0.645833333333333</v>
      </c>
      <c r="CN29" s="1" t="str">
        <f aca="false">"[""" &amp; CK29 &amp; """, """ &amp; IF(CL29="","",TEXT(CL29,"h:mm")) &amp; """, """ &amp; IF(CM29="","",TEXT(CM29,"h:mm")) &amp; """],"</f>
        <v>["別府", "15:17", "15:30"],</v>
      </c>
      <c r="CO29" s="18" t="n">
        <f aca="false">IF(AND(LEN(CL29)&lt;&gt;0,LEN(CM29)&lt;&gt;0),((HOUR(CM29)*60)+MINUTE(CM29))-((HOUR(CL29)*60)+MINUTE(CL29)),"")</f>
        <v>13</v>
      </c>
      <c r="CP29" s="20" t="s">
        <v>29</v>
      </c>
      <c r="CQ29" s="20" t="n">
        <v>0.636805555555556</v>
      </c>
      <c r="CR29" s="20" t="n">
        <v>0.645833333333333</v>
      </c>
      <c r="CS29" s="1" t="str">
        <f aca="false">"[""" &amp; CP29 &amp; """, """ &amp; IF(CQ29="","",TEXT(CQ29,"h:mm")) &amp; """, """ &amp; IF(CR29="","",TEXT(CR29,"h:mm")) &amp; """],"</f>
        <v>["別府", "15:17", "15:30"],</v>
      </c>
      <c r="CT29" s="18" t="n">
        <f aca="false">IF(AND(LEN(CQ29)&lt;&gt;0,LEN(CR29)&lt;&gt;0),((HOUR(CR29)*60)+MINUTE(CR29))-((HOUR(CQ29)*60)+MINUTE(CQ29)),"")</f>
        <v>13</v>
      </c>
      <c r="CZ29" s="19" t="s">
        <v>30</v>
      </c>
      <c r="DA29" s="19" t="n">
        <v>0.839583333333333</v>
      </c>
      <c r="DB29" s="19" t="n">
        <v>0.871527777777778</v>
      </c>
      <c r="DC29" s="1" t="str">
        <f aca="false">"[""" &amp; CZ29 &amp; """, """ &amp; IF(DA29="","",TEXT(DA29,"h:mm")) &amp; """, """ &amp; IF(DB29="","",TEXT(DB29,"h:mm")) &amp; """],"</f>
        <v>["菱浦", "20:09", "20:55"],</v>
      </c>
      <c r="DD29" s="18" t="n">
        <f aca="false">IF(AND(LEN(DA29)&lt;&gt;0,LEN(DB29)&lt;&gt;0),((HOUR(DB29)*60)+MINUTE(DB29))-((HOUR(DA29)*60)+MINUTE(DA29)),"")</f>
        <v>46</v>
      </c>
      <c r="DE29" s="19" t="s">
        <v>30</v>
      </c>
      <c r="DF29" s="19" t="n">
        <v>0.839583333333333</v>
      </c>
      <c r="DG29" s="19" t="n">
        <v>0.871527777777778</v>
      </c>
      <c r="DH29" s="1" t="str">
        <f aca="false">"[""" &amp; DE29 &amp; """, """ &amp; IF(DF29="","",TEXT(DF29,"h:mm")) &amp; """, """ &amp; IF(DG29="","",TEXT(DG29,"h:mm")) &amp; """],"</f>
        <v>["菱浦", "20:09", "20:55"],</v>
      </c>
      <c r="DI29" s="18" t="n">
        <f aca="false">IF(AND(LEN(DF29)&lt;&gt;0,LEN(DG29)&lt;&gt;0),((HOUR(DG29)*60)+MINUTE(DG29))-((HOUR(DF29)*60)+MINUTE(DF29)),"")</f>
        <v>46</v>
      </c>
    </row>
    <row r="30" customFormat="false" ht="18" hidden="false" customHeight="false" outlineLevel="0" collapsed="false">
      <c r="CK30" s="19" t="s">
        <v>30</v>
      </c>
      <c r="CL30" s="19" t="n">
        <v>0.650694444444445</v>
      </c>
      <c r="CM30" s="19" t="n">
        <v>0.652777777777778</v>
      </c>
      <c r="CN30" s="1" t="str">
        <f aca="false">"[""" &amp; CK30 &amp; """, """ &amp; IF(CL30="","",TEXT(CL30,"h:mm")) &amp; """, """ &amp; IF(CM30="","",TEXT(CM30,"h:mm")) &amp; """],"</f>
        <v>["菱浦", "15:37", "15:40"],</v>
      </c>
      <c r="CO30" s="18" t="n">
        <f aca="false">IF(AND(LEN(CL30)&lt;&gt;0,LEN(CM30)&lt;&gt;0),((HOUR(CM30)*60)+MINUTE(CM30))-((HOUR(CL30)*60)+MINUTE(CL30)),"")</f>
        <v>3</v>
      </c>
      <c r="CP30" s="19" t="s">
        <v>30</v>
      </c>
      <c r="CQ30" s="19" t="n">
        <v>0.650694444444445</v>
      </c>
      <c r="CR30" s="19" t="n">
        <v>0.652777777777778</v>
      </c>
      <c r="CS30" s="1" t="str">
        <f aca="false">"[""" &amp; CP30 &amp; """, """ &amp; IF(CQ30="","",TEXT(CQ30,"h:mm")) &amp; """, """ &amp; IF(CR30="","",TEXT(CR30,"h:mm")) &amp; """],"</f>
        <v>["菱浦", "15:37", "15:40"],</v>
      </c>
      <c r="CT30" s="18" t="n">
        <f aca="false">IF(AND(LEN(CQ30)&lt;&gt;0,LEN(CR30)&lt;&gt;0),((HOUR(CR30)*60)+MINUTE(CR30))-((HOUR(CQ30)*60)+MINUTE(CQ30)),"")</f>
        <v>3</v>
      </c>
      <c r="CZ30" s="20" t="s">
        <v>29</v>
      </c>
      <c r="DA30" s="20" t="n">
        <v>0.877083333333333</v>
      </c>
      <c r="DB30" s="20" t="n">
        <v>0.878472222222222</v>
      </c>
      <c r="DC30" s="1" t="str">
        <f aca="false">"[""" &amp; CZ30 &amp; """, """ &amp; IF(DA30="","",TEXT(DA30,"h:mm")) &amp; """, """ &amp; IF(DB30="","",TEXT(DB30,"h:mm")) &amp; """],"</f>
        <v>["別府", "21:03", "21:05"],</v>
      </c>
      <c r="DD30" s="18" t="n">
        <f aca="false">IF(AND(LEN(DA30)&lt;&gt;0,LEN(DB30)&lt;&gt;0),((HOUR(DB30)*60)+MINUTE(DB30))-((HOUR(DA30)*60)+MINUTE(DA30)),"")</f>
        <v>2</v>
      </c>
      <c r="DE30" s="20" t="s">
        <v>29</v>
      </c>
      <c r="DF30" s="20" t="n">
        <v>0.877083333333333</v>
      </c>
      <c r="DG30" s="20" t="n">
        <v>0.878472222222222</v>
      </c>
      <c r="DH30" s="1" t="str">
        <f aca="false">"[""" &amp; DE30 &amp; """, """ &amp; IF(DF30="","",TEXT(DF30,"h:mm")) &amp; """, """ &amp; IF(DG30="","",TEXT(DG30,"h:mm")) &amp; """],"</f>
        <v>["別府", "21:03", "21:05"],</v>
      </c>
      <c r="DI30" s="18" t="n">
        <f aca="false">IF(AND(LEN(DF30)&lt;&gt;0,LEN(DG30)&lt;&gt;0),((HOUR(DG30)*60)+MINUTE(DG30))-((HOUR(DF30)*60)+MINUTE(DF30)),"")</f>
        <v>2</v>
      </c>
    </row>
    <row r="31" customFormat="false" ht="18" hidden="false" customHeight="false" outlineLevel="0" collapsed="false">
      <c r="CK31" s="20" t="s">
        <v>29</v>
      </c>
      <c r="CL31" s="20" t="n">
        <v>0.657638888888889</v>
      </c>
      <c r="CM31" s="20" t="n">
        <v>0.673611111111111</v>
      </c>
      <c r="CN31" s="1" t="str">
        <f aca="false">"[""" &amp; CK31 &amp; """, """ &amp; IF(CL31="","",TEXT(CL31,"h:mm")) &amp; """, """ &amp; IF(CM31="","",TEXT(CM31,"h:mm")) &amp; """],"</f>
        <v>["別府", "15:47", "16:10"],</v>
      </c>
      <c r="CO31" s="18" t="n">
        <f aca="false">IF(AND(LEN(CL31)&lt;&gt;0,LEN(CM31)&lt;&gt;0),((HOUR(CM31)*60)+MINUTE(CM31))-((HOUR(CL31)*60)+MINUTE(CL31)),"")</f>
        <v>23</v>
      </c>
      <c r="CP31" s="20" t="s">
        <v>29</v>
      </c>
      <c r="CQ31" s="20" t="n">
        <v>0.657638888888889</v>
      </c>
      <c r="CR31" s="20" t="n">
        <v>0.673611111111111</v>
      </c>
      <c r="CS31" s="1" t="str">
        <f aca="false">"[""" &amp; CP31 &amp; """, """ &amp; IF(CQ31="","",TEXT(CQ31,"h:mm")) &amp; """, """ &amp; IF(CR31="","",TEXT(CR31,"h:mm")) &amp; """],"</f>
        <v>["別府", "15:47", "16:10"],</v>
      </c>
      <c r="CT31" s="18" t="n">
        <f aca="false">IF(AND(LEN(CQ31)&lt;&gt;0,LEN(CR31)&lt;&gt;0),((HOUR(CR31)*60)+MINUTE(CR31))-((HOUR(CQ31)*60)+MINUTE(CQ31)),"")</f>
        <v>23</v>
      </c>
      <c r="CZ31" s="19" t="s">
        <v>30</v>
      </c>
      <c r="DA31" s="19" t="n">
        <v>0.884027777777778</v>
      </c>
      <c r="DB31" s="19" t="n">
        <v>0.915972222222222</v>
      </c>
      <c r="DC31" s="1" t="str">
        <f aca="false">"[""" &amp; CZ31 &amp; """, """ &amp; IF(DA31="","",TEXT(DA31,"h:mm")) &amp; """, """ &amp; IF(DB31="","",TEXT(DB31,"h:mm")) &amp; """],"</f>
        <v>["菱浦", "21:13", "21:59"],</v>
      </c>
      <c r="DD31" s="18" t="n">
        <f aca="false">IF(AND(LEN(DA31)&lt;&gt;0,LEN(DB31)&lt;&gt;0),((HOUR(DB31)*60)+MINUTE(DB31))-((HOUR(DA31)*60)+MINUTE(DA31)),"")</f>
        <v>46</v>
      </c>
      <c r="DE31" s="19" t="s">
        <v>30</v>
      </c>
      <c r="DF31" s="19" t="n">
        <v>0.884027777777778</v>
      </c>
      <c r="DG31" s="19" t="n">
        <v>0.915972222222222</v>
      </c>
      <c r="DH31" s="1" t="str">
        <f aca="false">"[""" &amp; DE31 &amp; """, """ &amp; IF(DF31="","",TEXT(DF31,"h:mm")) &amp; """, """ &amp; IF(DG31="","",TEXT(DG31,"h:mm")) &amp; """],"</f>
        <v>["菱浦", "21:13", "21:59"],</v>
      </c>
      <c r="DI31" s="18" t="n">
        <f aca="false">IF(AND(LEN(DF31)&lt;&gt;0,LEN(DG31)&lt;&gt;0),((HOUR(DG31)*60)+MINUTE(DG31))-((HOUR(DF31)*60)+MINUTE(DF31)),"")</f>
        <v>46</v>
      </c>
    </row>
    <row r="32" customFormat="false" ht="18" hidden="false" customHeight="false" outlineLevel="0" collapsed="false">
      <c r="CK32" s="21" t="s">
        <v>31</v>
      </c>
      <c r="CL32" s="22" t="n">
        <v>0.685416666666667</v>
      </c>
      <c r="CM32" s="22" t="n">
        <v>0.686805555555556</v>
      </c>
      <c r="CN32" s="1" t="str">
        <f aca="false">"[""" &amp; CK32 &amp; """, """ &amp; IF(CL32="","",TEXT(CL32,"h:mm")) &amp; """, """ &amp; IF(CM32="","",TEXT(CM32,"h:mm")) &amp; """],"</f>
        <v>["来居", "16:27", "16:29"],</v>
      </c>
      <c r="CO32" s="18" t="n">
        <f aca="false">IF(AND(LEN(CL32)&lt;&gt;0,LEN(CM32)&lt;&gt;0),((HOUR(CM32)*60)+MINUTE(CM32))-((HOUR(CL32)*60)+MINUTE(CL32)),"")</f>
        <v>2</v>
      </c>
      <c r="CP32" s="21" t="s">
        <v>31</v>
      </c>
      <c r="CQ32" s="22" t="n">
        <v>0.685416666666667</v>
      </c>
      <c r="CR32" s="22" t="n">
        <v>0.686805555555556</v>
      </c>
      <c r="CS32" s="1" t="str">
        <f aca="false">"[""" &amp; CP32 &amp; """, """ &amp; IF(CQ32="","",TEXT(CQ32,"h:mm")) &amp; """, """ &amp; IF(CR32="","",TEXT(CR32,"h:mm")) &amp; """],"</f>
        <v>["来居", "16:27", "16:29"],</v>
      </c>
      <c r="CT32" s="18" t="n">
        <f aca="false">IF(AND(LEN(CQ32)&lt;&gt;0,LEN(CR32)&lt;&gt;0),((HOUR(CR32)*60)+MINUTE(CR32))-((HOUR(CQ32)*60)+MINUTE(CQ32)),"")</f>
        <v>2</v>
      </c>
      <c r="CZ32" s="20" t="s">
        <v>29</v>
      </c>
      <c r="DA32" s="20" t="n">
        <v>0.921527777777778</v>
      </c>
      <c r="DB32" s="22"/>
      <c r="DC32" s="1" t="str">
        <f aca="false">"[""" &amp; CZ32 &amp; """, """ &amp; IF(DA32="","",TEXT(DA32,"h:mm")) &amp; """, """ &amp; IF(DB32="","",TEXT(DB32,"h:mm")) &amp; """]"</f>
        <v>["別府", "22:07", ""]</v>
      </c>
      <c r="DD32" s="18" t="str">
        <f aca="false">IF(AND(LEN(DA32)&lt;&gt;0,LEN(DB32)&lt;&gt;0),((HOUR(DB32)*60)+MINUTE(DB32))-((HOUR(DA32)*60)+MINUTE(DA32)),"")</f>
        <v/>
      </c>
      <c r="DE32" s="20" t="s">
        <v>29</v>
      </c>
      <c r="DF32" s="20" t="n">
        <v>0.921527777777778</v>
      </c>
      <c r="DG32" s="22"/>
      <c r="DH32" s="1" t="str">
        <f aca="false">"[""" &amp; DE32 &amp; """, """ &amp; IF(DF32="","",TEXT(DF32,"h:mm")) &amp; """, """ &amp; IF(DG32="","",TEXT(DG32,"h:mm")) &amp; """]"</f>
        <v>["別府", "22:07", ""]</v>
      </c>
      <c r="DI32" s="18" t="str">
        <f aca="false">IF(AND(LEN(DF32)&lt;&gt;0,LEN(DG32)&lt;&gt;0),((HOUR(DG32)*60)+MINUTE(DG32))-((HOUR(DF32)*60)+MINUTE(DF32)),"")</f>
        <v/>
      </c>
    </row>
    <row r="33" customFormat="false" ht="18" hidden="false" customHeight="false" outlineLevel="0" collapsed="false">
      <c r="CK33" s="19" t="s">
        <v>30</v>
      </c>
      <c r="CL33" s="19" t="n">
        <v>0.699305555555556</v>
      </c>
      <c r="CM33" s="19" t="n">
        <v>0.700694444444444</v>
      </c>
      <c r="CN33" s="1" t="str">
        <f aca="false">"[""" &amp; CK33 &amp; """, """ &amp; IF(CL33="","",TEXT(CL33,"h:mm")) &amp; """, """ &amp; IF(CM33="","",TEXT(CM33,"h:mm")) &amp; """],"</f>
        <v>["菱浦", "16:47", "16:49"],</v>
      </c>
      <c r="CO33" s="18" t="n">
        <f aca="false">IF(AND(LEN(CL33)&lt;&gt;0,LEN(CM33)&lt;&gt;0),((HOUR(CM33)*60)+MINUTE(CM33))-((HOUR(CL33)*60)+MINUTE(CL33)),"")</f>
        <v>2</v>
      </c>
      <c r="CP33" s="19" t="s">
        <v>30</v>
      </c>
      <c r="CQ33" s="19" t="n">
        <v>0.699305555555556</v>
      </c>
      <c r="CR33" s="19" t="n">
        <v>0.700694444444444</v>
      </c>
      <c r="CS33" s="1" t="str">
        <f aca="false">"[""" &amp; CP33 &amp; """, """ &amp; IF(CQ33="","",TEXT(CQ33,"h:mm")) &amp; """, """ &amp; IF(CR33="","",TEXT(CR33,"h:mm")) &amp; """],"</f>
        <v>["菱浦", "16:47", "16:49"],</v>
      </c>
      <c r="CT33" s="18" t="n">
        <f aca="false">IF(AND(LEN(CQ33)&lt;&gt;0,LEN(CR33)&lt;&gt;0),((HOUR(CR33)*60)+MINUTE(CR33))-((HOUR(CQ33)*60)+MINUTE(CQ33)),"")</f>
        <v>2</v>
      </c>
      <c r="CZ33" s="19"/>
      <c r="DA33" s="19"/>
      <c r="DB33" s="19"/>
      <c r="DC33" s="1" t="s">
        <v>33</v>
      </c>
      <c r="DD33" s="18" t="str">
        <f aca="false">IF(AND(LEN(DA33)&lt;&gt;0,LEN(DB33)&lt;&gt;0),((HOUR(DB33)*60)+MINUTE(DB33))-((HOUR(DA33)*60)+MINUTE(DA33)),"")</f>
        <v/>
      </c>
      <c r="DE33" s="19"/>
      <c r="DF33" s="19"/>
      <c r="DG33" s="19"/>
      <c r="DH33" s="1" t="s">
        <v>33</v>
      </c>
      <c r="DI33" s="18" t="str">
        <f aca="false">IF(AND(LEN(DF33)&lt;&gt;0,LEN(DG33)&lt;&gt;0),((HOUR(DG33)*60)+MINUTE(DG33))-((HOUR(DF33)*60)+MINUTE(DF33)),"")</f>
        <v/>
      </c>
    </row>
    <row r="34" customFormat="false" ht="18" hidden="false" customHeight="false" outlineLevel="0" collapsed="false">
      <c r="CK34" s="20" t="s">
        <v>29</v>
      </c>
      <c r="CL34" s="20" t="n">
        <v>0.705555555555556</v>
      </c>
      <c r="CM34" s="20" t="n">
        <v>0.722222222222222</v>
      </c>
      <c r="CN34" s="1" t="str">
        <f aca="false">"[""" &amp; CK34 &amp; """, """ &amp; IF(CL34="","",TEXT(CL34,"h:mm")) &amp; """, """ &amp; IF(CM34="","",TEXT(CM34,"h:mm")) &amp; """],"</f>
        <v>["別府", "16:56", "17:20"],</v>
      </c>
      <c r="CO34" s="18" t="n">
        <f aca="false">IF(AND(LEN(CL34)&lt;&gt;0,LEN(CM34)&lt;&gt;0),((HOUR(CM34)*60)+MINUTE(CM34))-((HOUR(CL34)*60)+MINUTE(CL34)),"")</f>
        <v>24</v>
      </c>
      <c r="CP34" s="20" t="s">
        <v>29</v>
      </c>
      <c r="CQ34" s="20" t="n">
        <v>0.705555555555556</v>
      </c>
      <c r="CR34" s="20" t="n">
        <v>0.722222222222222</v>
      </c>
      <c r="CS34" s="1" t="str">
        <f aca="false">"[""" &amp; CP34 &amp; """, """ &amp; IF(CQ34="","",TEXT(CQ34,"h:mm")) &amp; """, """ &amp; IF(CR34="","",TEXT(CR34,"h:mm")) &amp; """],"</f>
        <v>["別府", "16:56", "17:20"],</v>
      </c>
      <c r="CT34" s="18" t="n">
        <f aca="false">IF(AND(LEN(CQ34)&lt;&gt;0,LEN(CR34)&lt;&gt;0),((HOUR(CR34)*60)+MINUTE(CR34))-((HOUR(CQ34)*60)+MINUTE(CQ34)),"")</f>
        <v>24</v>
      </c>
      <c r="CZ34" s="19"/>
      <c r="DA34" s="19"/>
      <c r="DB34" s="19"/>
      <c r="DD34" s="18"/>
      <c r="DE34" s="19"/>
      <c r="DF34" s="19"/>
      <c r="DG34" s="19"/>
      <c r="DI34" s="18"/>
    </row>
    <row r="35" customFormat="false" ht="18" hidden="false" customHeight="false" outlineLevel="0" collapsed="false">
      <c r="CK35" s="19" t="s">
        <v>30</v>
      </c>
      <c r="CL35" s="19" t="n">
        <v>0.727083333333333</v>
      </c>
      <c r="CM35" s="29" t="n">
        <v>0.728472222222222</v>
      </c>
      <c r="CN35" s="1" t="str">
        <f aca="false">"[""" &amp; CK35 &amp; """, """ &amp; IF(CL35="","",TEXT(CL35,"h:mm")) &amp; """, """ &amp; IF(CM35="","",TEXT(CM35,"h:mm")) &amp; """],"</f>
        <v>["菱浦", "17:27", "17:29"],</v>
      </c>
      <c r="CO35" s="18" t="n">
        <f aca="false">IF(AND(LEN(CL35)&lt;&gt;0,LEN(CM35)&lt;&gt;0),((HOUR(CM35)*60)+MINUTE(CM35))-((HOUR(CL35)*60)+MINUTE(CL35)),"")</f>
        <v>2</v>
      </c>
      <c r="CP35" s="19" t="s">
        <v>30</v>
      </c>
      <c r="CQ35" s="19" t="n">
        <v>0.727083333333333</v>
      </c>
      <c r="CR35" s="29" t="n">
        <v>0.735416666666667</v>
      </c>
      <c r="CS35" s="1" t="str">
        <f aca="false">"[""" &amp; CP35 &amp; """, """ &amp; IF(CQ35="","",TEXT(CQ35,"h:mm")) &amp; """, """ &amp; IF(CR35="","",TEXT(CR35,"h:mm")) &amp; """],"</f>
        <v>["菱浦", "17:27", "17:39"],</v>
      </c>
      <c r="CT35" s="18" t="n">
        <f aca="false">IF(AND(LEN(CQ35)&lt;&gt;0,LEN(CR35)&lt;&gt;0),((HOUR(CR35)*60)+MINUTE(CR35))-((HOUR(CQ35)*60)+MINUTE(CQ35)),"")</f>
        <v>12</v>
      </c>
      <c r="CZ35" s="21"/>
      <c r="DA35" s="22"/>
      <c r="DB35" s="22"/>
      <c r="DD35" s="18"/>
      <c r="DE35" s="21"/>
      <c r="DF35" s="22"/>
      <c r="DG35" s="22"/>
      <c r="DI35" s="18"/>
    </row>
    <row r="36" customFormat="false" ht="18" hidden="false" customHeight="false" outlineLevel="0" collapsed="false">
      <c r="CK36" s="21" t="s">
        <v>31</v>
      </c>
      <c r="CL36" s="31" t="n">
        <v>0.740972222222222</v>
      </c>
      <c r="CM36" s="31" t="n">
        <v>0.742361111111111</v>
      </c>
      <c r="CN36" s="1" t="str">
        <f aca="false">"[""" &amp; CK36 &amp; """, """ &amp; IF(CL36="","",TEXT(CL36,"h:mm")) &amp; """, """ &amp; IF(CM36="","",TEXT(CM36,"h:mm")) &amp; """],"</f>
        <v>["来居", "17:47", "17:49"],</v>
      </c>
      <c r="CO36" s="18" t="n">
        <f aca="false">IF(AND(LEN(CL36)&lt;&gt;0,LEN(CM36)&lt;&gt;0),((HOUR(CM36)*60)+MINUTE(CM36))-((HOUR(CL36)*60)+MINUTE(CL36)),"")</f>
        <v>2</v>
      </c>
      <c r="CP36" s="21" t="s">
        <v>31</v>
      </c>
      <c r="CQ36" s="31" t="n">
        <v>0.747916666666667</v>
      </c>
      <c r="CR36" s="31" t="n">
        <v>0.749305555555556</v>
      </c>
      <c r="CS36" s="1" t="str">
        <f aca="false">"[""" &amp; CP36 &amp; """, """ &amp; IF(CQ36="","",TEXT(CQ36,"h:mm")) &amp; """, """ &amp; IF(CR36="","",TEXT(CR36,"h:mm")) &amp; """],"</f>
        <v>["来居", "17:57", "17:59"],</v>
      </c>
      <c r="CT36" s="18" t="n">
        <f aca="false">IF(AND(LEN(CQ36)&lt;&gt;0,LEN(CR36)&lt;&gt;0),((HOUR(CR36)*60)+MINUTE(CR36))-((HOUR(CQ36)*60)+MINUTE(CQ36)),"")</f>
        <v>2</v>
      </c>
      <c r="CZ36" s="19"/>
      <c r="DA36" s="19"/>
      <c r="DB36" s="19"/>
      <c r="DD36" s="18"/>
      <c r="DE36" s="19"/>
      <c r="DF36" s="19"/>
      <c r="DG36" s="19"/>
      <c r="DI36" s="18"/>
    </row>
    <row r="37" customFormat="false" ht="18" hidden="false" customHeight="false" outlineLevel="0" collapsed="false">
      <c r="CK37" s="19" t="s">
        <v>30</v>
      </c>
      <c r="CL37" s="29" t="n">
        <v>0.754861111111111</v>
      </c>
      <c r="CM37" s="29" t="n">
        <v>0.75625</v>
      </c>
      <c r="CN37" s="1" t="str">
        <f aca="false">"[""" &amp; CK37 &amp; """, """ &amp; IF(CL37="","",TEXT(CL37,"h:mm")) &amp; """, """ &amp; IF(CM37="","",TEXT(CM37,"h:mm")) &amp; """],"</f>
        <v>["菱浦", "18:07", "18:09"],</v>
      </c>
      <c r="CO37" s="18" t="n">
        <f aca="false">IF(AND(LEN(CL37)&lt;&gt;0,LEN(CM37)&lt;&gt;0),((HOUR(CM37)*60)+MINUTE(CM37))-((HOUR(CL37)*60)+MINUTE(CL37)),"")</f>
        <v>2</v>
      </c>
      <c r="CP37" s="19" t="s">
        <v>30</v>
      </c>
      <c r="CQ37" s="29" t="n">
        <v>0.761805555555556</v>
      </c>
      <c r="CR37" s="29" t="n">
        <v>0.763194444444444</v>
      </c>
      <c r="CS37" s="1" t="str">
        <f aca="false">"[""" &amp; CP37 &amp; """, """ &amp; IF(CQ37="","",TEXT(CQ37,"h:mm")) &amp; """, """ &amp; IF(CR37="","",TEXT(CR37,"h:mm")) &amp; """],"</f>
        <v>["菱浦", "18:17", "18:19"],</v>
      </c>
      <c r="CT37" s="18" t="n">
        <f aca="false">IF(AND(LEN(CQ37)&lt;&gt;0,LEN(CR37)&lt;&gt;0),((HOUR(CR37)*60)+MINUTE(CR37))-((HOUR(CQ37)*60)+MINUTE(CQ37)),"")</f>
        <v>2</v>
      </c>
      <c r="CZ37" s="19"/>
      <c r="DA37" s="19"/>
      <c r="DB37" s="19"/>
      <c r="DD37" s="18"/>
      <c r="DE37" s="19"/>
      <c r="DF37" s="19"/>
      <c r="DG37" s="19"/>
      <c r="DI37" s="18"/>
    </row>
    <row r="38" customFormat="false" ht="18" hidden="false" customHeight="false" outlineLevel="0" collapsed="false">
      <c r="CK38" s="20" t="s">
        <v>29</v>
      </c>
      <c r="CL38" s="30" t="n">
        <v>0.761111111111111</v>
      </c>
      <c r="CM38" s="20" t="n">
        <v>0.783333333333333</v>
      </c>
      <c r="CN38" s="1" t="str">
        <f aca="false">"[""" &amp; CK38 &amp; """, """ &amp; IF(CL38="","",TEXT(CL38,"h:mm")) &amp; """, """ &amp; IF(CM38="","",TEXT(CM38,"h:mm")) &amp; """],"</f>
        <v>["別府", "18:16", "18:48"],</v>
      </c>
      <c r="CO38" s="18" t="n">
        <f aca="false">IF(AND(LEN(CL38)&lt;&gt;0,LEN(CM38)&lt;&gt;0),((HOUR(CM38)*60)+MINUTE(CM38))-((HOUR(CL38)*60)+MINUTE(CL38)),"")</f>
        <v>32</v>
      </c>
      <c r="CP38" s="20" t="s">
        <v>29</v>
      </c>
      <c r="CQ38" s="30" t="n">
        <v>0.768055555555556</v>
      </c>
      <c r="CR38" s="20" t="n">
        <v>0.783333333333333</v>
      </c>
      <c r="CS38" s="1" t="str">
        <f aca="false">"[""" &amp; CP38 &amp; """, """ &amp; IF(CQ38="","",TEXT(CQ38,"h:mm")) &amp; """, """ &amp; IF(CR38="","",TEXT(CR38,"h:mm")) &amp; """],"</f>
        <v>["別府", "18:26", "18:48"],</v>
      </c>
      <c r="CT38" s="18" t="n">
        <f aca="false">IF(AND(LEN(CQ38)&lt;&gt;0,LEN(CR38)&lt;&gt;0),((HOUR(CR38)*60)+MINUTE(CR38))-((HOUR(CQ38)*60)+MINUTE(CQ38)),"")</f>
        <v>22</v>
      </c>
      <c r="CZ38" s="20"/>
      <c r="DA38" s="20"/>
      <c r="DB38" s="20"/>
      <c r="DD38" s="18"/>
      <c r="DE38" s="20"/>
      <c r="DF38" s="20"/>
      <c r="DG38" s="20"/>
      <c r="DI38" s="18"/>
    </row>
    <row r="39" customFormat="false" ht="18" hidden="false" customHeight="false" outlineLevel="0" collapsed="false">
      <c r="CK39" s="19" t="s">
        <v>30</v>
      </c>
      <c r="CL39" s="19" t="n">
        <v>0.788888888888889</v>
      </c>
      <c r="CM39" s="19" t="n">
        <v>0.790277777777778</v>
      </c>
      <c r="CN39" s="1" t="str">
        <f aca="false">"[""" &amp; CK39 &amp; """, """ &amp; IF(CL39="","",TEXT(CL39,"h:mm")) &amp; """, """ &amp; IF(CM39="","",TEXT(CM39,"h:mm")) &amp; """],"</f>
        <v>["菱浦", "18:56", "18:58"],</v>
      </c>
      <c r="CO39" s="18" t="n">
        <f aca="false">IF(AND(LEN(CL39)&lt;&gt;0,LEN(CM39)&lt;&gt;0),((HOUR(CM39)*60)+MINUTE(CM39))-((HOUR(CL39)*60)+MINUTE(CL39)),"")</f>
        <v>2</v>
      </c>
      <c r="CP39" s="19" t="s">
        <v>30</v>
      </c>
      <c r="CQ39" s="19" t="n">
        <v>0.788888888888889</v>
      </c>
      <c r="CR39" s="19" t="n">
        <v>0.790277777777778</v>
      </c>
      <c r="CS39" s="1" t="str">
        <f aca="false">"[""" &amp; CP39 &amp; """, """ &amp; IF(CQ39="","",TEXT(CQ39,"h:mm")) &amp; """, """ &amp; IF(CR39="","",TEXT(CR39,"h:mm")) &amp; """],"</f>
        <v>["菱浦", "18:56", "18:58"],</v>
      </c>
      <c r="CT39" s="18" t="n">
        <f aca="false">IF(AND(LEN(CQ39)&lt;&gt;0,LEN(CR39)&lt;&gt;0),((HOUR(CR39)*60)+MINUTE(CR39))-((HOUR(CQ39)*60)+MINUTE(CQ39)),"")</f>
        <v>2</v>
      </c>
      <c r="CZ39" s="20"/>
      <c r="DA39" s="20"/>
      <c r="DB39" s="20"/>
      <c r="DD39" s="18"/>
      <c r="DE39" s="20"/>
      <c r="DF39" s="20"/>
      <c r="DG39" s="20"/>
      <c r="DI39" s="18"/>
    </row>
    <row r="40" customFormat="false" ht="18" hidden="false" customHeight="false" outlineLevel="0" collapsed="false">
      <c r="CK40" s="20" t="s">
        <v>29</v>
      </c>
      <c r="CL40" s="20" t="n">
        <v>0.795833333333333</v>
      </c>
      <c r="CM40" s="20" t="n">
        <v>0.797222222222222</v>
      </c>
      <c r="CN40" s="1" t="str">
        <f aca="false">"[""" &amp; CK40 &amp; """, """ &amp; IF(CL40="","",TEXT(CL40,"h:mm")) &amp; """, """ &amp; IF(CM40="","",TEXT(CM40,"h:mm")) &amp; """],"</f>
        <v>["別府", "19:06", "19:08"],</v>
      </c>
      <c r="CO40" s="18" t="n">
        <f aca="false">IF(AND(LEN(CL40)&lt;&gt;0,LEN(CM40)&lt;&gt;0),((HOUR(CM40)*60)+MINUTE(CM40))-((HOUR(CL40)*60)+MINUTE(CL40)),"")</f>
        <v>2</v>
      </c>
      <c r="CP40" s="20" t="s">
        <v>29</v>
      </c>
      <c r="CQ40" s="20" t="n">
        <v>0.795833333333333</v>
      </c>
      <c r="CR40" s="20" t="n">
        <v>0.797222222222222</v>
      </c>
      <c r="CS40" s="1" t="str">
        <f aca="false">"[""" &amp; CP40 &amp; """, """ &amp; IF(CQ40="","",TEXT(CQ40,"h:mm")) &amp; """, """ &amp; IF(CR40="","",TEXT(CR40,"h:mm")) &amp; """],"</f>
        <v>["別府", "19:06", "19:08"],</v>
      </c>
      <c r="CT40" s="18" t="n">
        <f aca="false">IF(AND(LEN(CQ40)&lt;&gt;0,LEN(CR40)&lt;&gt;0),((HOUR(CR40)*60)+MINUTE(CR40))-((HOUR(CQ40)*60)+MINUTE(CQ40)),"")</f>
        <v>2</v>
      </c>
      <c r="CZ40" s="20"/>
      <c r="DA40" s="20"/>
      <c r="DB40" s="20"/>
      <c r="DD40" s="18"/>
      <c r="DE40" s="20"/>
      <c r="DF40" s="20"/>
      <c r="DG40" s="20"/>
      <c r="DI40" s="18"/>
    </row>
    <row r="41" customFormat="false" ht="18" hidden="false" customHeight="false" outlineLevel="0" collapsed="false">
      <c r="CK41" s="21" t="s">
        <v>31</v>
      </c>
      <c r="CL41" s="22" t="n">
        <v>0.810416666666667</v>
      </c>
      <c r="CM41" s="22" t="n">
        <v>0.811805555555556</v>
      </c>
      <c r="CN41" s="1" t="str">
        <f aca="false">"[""" &amp; CK41 &amp; """, """ &amp; IF(CL41="","",TEXT(CL41,"h:mm")) &amp; """, """ &amp; IF(CM41="","",TEXT(CM41,"h:mm")) &amp; """],"</f>
        <v>["来居", "19:27", "19:29"],</v>
      </c>
      <c r="CO41" s="18" t="n">
        <f aca="false">IF(AND(LEN(CL41)&lt;&gt;0,LEN(CM41)&lt;&gt;0),((HOUR(CM41)*60)+MINUTE(CM41))-((HOUR(CL41)*60)+MINUTE(CL41)),"")</f>
        <v>2</v>
      </c>
      <c r="CP41" s="21" t="s">
        <v>31</v>
      </c>
      <c r="CQ41" s="22" t="n">
        <v>0.810416666666667</v>
      </c>
      <c r="CR41" s="22" t="n">
        <v>0.811805555555556</v>
      </c>
      <c r="CS41" s="1" t="str">
        <f aca="false">"[""" &amp; CP41 &amp; """, """ &amp; IF(CQ41="","",TEXT(CQ41,"h:mm")) &amp; """, """ &amp; IF(CR41="","",TEXT(CR41,"h:mm")) &amp; """],"</f>
        <v>["来居", "19:27", "19:29"],</v>
      </c>
      <c r="CT41" s="18" t="n">
        <f aca="false">IF(AND(LEN(CQ41)&lt;&gt;0,LEN(CR41)&lt;&gt;0),((HOUR(CR41)*60)+MINUTE(CR41))-((HOUR(CQ41)*60)+MINUTE(CQ41)),"")</f>
        <v>2</v>
      </c>
      <c r="CZ41" s="20"/>
      <c r="DA41" s="20"/>
      <c r="DB41" s="20"/>
      <c r="DD41" s="18"/>
      <c r="DE41" s="20"/>
      <c r="DF41" s="20"/>
      <c r="DG41" s="20"/>
      <c r="DI41" s="18"/>
    </row>
    <row r="42" customFormat="false" ht="18" hidden="false" customHeight="false" outlineLevel="0" collapsed="false">
      <c r="CK42" s="19" t="s">
        <v>30</v>
      </c>
      <c r="CL42" s="19" t="n">
        <v>0.825694444444444</v>
      </c>
      <c r="CM42" s="19" t="n">
        <v>0.827083333333333</v>
      </c>
      <c r="CN42" s="1" t="str">
        <f aca="false">"[""" &amp; CK42 &amp; """, """ &amp; IF(CL42="","",TEXT(CL42,"h:mm")) &amp; """, """ &amp; IF(CM42="","",TEXT(CM42,"h:mm")) &amp; """],"</f>
        <v>["菱浦", "19:49", "19:51"],</v>
      </c>
      <c r="CO42" s="18" t="n">
        <f aca="false">IF(AND(LEN(CL42)&lt;&gt;0,LEN(CM42)&lt;&gt;0),((HOUR(CM42)*60)+MINUTE(CM42))-((HOUR(CL42)*60)+MINUTE(CL42)),"")</f>
        <v>2</v>
      </c>
      <c r="CP42" s="19" t="s">
        <v>30</v>
      </c>
      <c r="CQ42" s="19" t="n">
        <v>0.825694444444444</v>
      </c>
      <c r="CR42" s="19" t="n">
        <v>0.827083333333333</v>
      </c>
      <c r="CS42" s="1" t="str">
        <f aca="false">"[""" &amp; CP42 &amp; """, """ &amp; IF(CQ42="","",TEXT(CQ42,"h:mm")) &amp; """, """ &amp; IF(CR42="","",TEXT(CR42,"h:mm")) &amp; """],"</f>
        <v>["菱浦", "19:49", "19:51"],</v>
      </c>
      <c r="CT42" s="18" t="n">
        <f aca="false">IF(AND(LEN(CQ42)&lt;&gt;0,LEN(CR42)&lt;&gt;0),((HOUR(CR42)*60)+MINUTE(CR42))-((HOUR(CQ42)*60)+MINUTE(CQ42)),"")</f>
        <v>2</v>
      </c>
      <c r="CZ42" s="20"/>
      <c r="DA42" s="20"/>
      <c r="DB42" s="20"/>
      <c r="DD42" s="18"/>
      <c r="DE42" s="20"/>
      <c r="DF42" s="20"/>
      <c r="DG42" s="20"/>
      <c r="DI42" s="18"/>
    </row>
    <row r="43" customFormat="false" ht="18" hidden="false" customHeight="false" outlineLevel="0" collapsed="false">
      <c r="CK43" s="20" t="s">
        <v>29</v>
      </c>
      <c r="CL43" s="20" t="n">
        <v>0.832638888888889</v>
      </c>
      <c r="CM43" s="20" t="n">
        <v>0.834027777777778</v>
      </c>
      <c r="CN43" s="1" t="str">
        <f aca="false">"[""" &amp; CK43 &amp; """, """ &amp; IF(CL43="","",TEXT(CL43,"h:mm")) &amp; """, """ &amp; IF(CM43="","",TEXT(CM43,"h:mm")) &amp; """],"</f>
        <v>["別府", "19:59", "20:01"],</v>
      </c>
      <c r="CO43" s="18" t="n">
        <f aca="false">IF(AND(LEN(CL43)&lt;&gt;0,LEN(CM43)&lt;&gt;0),((HOUR(CM43)*60)+MINUTE(CM43))-((HOUR(CL43)*60)+MINUTE(CL43)),"")</f>
        <v>2</v>
      </c>
      <c r="CP43" s="20" t="s">
        <v>29</v>
      </c>
      <c r="CQ43" s="20" t="n">
        <v>0.832638888888889</v>
      </c>
      <c r="CR43" s="20" t="n">
        <v>0.834027777777778</v>
      </c>
      <c r="CS43" s="1" t="str">
        <f aca="false">"[""" &amp; CP43 &amp; """, """ &amp; IF(CQ43="","",TEXT(CQ43,"h:mm")) &amp; """, """ &amp; IF(CR43="","",TEXT(CR43,"h:mm")) &amp; """],"</f>
        <v>["別府", "19:59", "20:01"],</v>
      </c>
      <c r="CT43" s="18" t="n">
        <f aca="false">IF(AND(LEN(CQ43)&lt;&gt;0,LEN(CR43)&lt;&gt;0),((HOUR(CR43)*60)+MINUTE(CR43))-((HOUR(CQ43)*60)+MINUTE(CQ43)),"")</f>
        <v>2</v>
      </c>
      <c r="CZ43" s="20"/>
      <c r="DA43" s="20"/>
      <c r="DB43" s="20"/>
      <c r="DD43" s="18"/>
      <c r="DE43" s="20"/>
      <c r="DF43" s="20"/>
      <c r="DG43" s="20"/>
      <c r="DI43" s="18"/>
    </row>
    <row r="44" customFormat="false" ht="18" hidden="false" customHeight="false" outlineLevel="0" collapsed="false">
      <c r="CK44" s="19" t="s">
        <v>30</v>
      </c>
      <c r="CL44" s="19" t="n">
        <v>0.839583333333333</v>
      </c>
      <c r="CM44" s="19" t="n">
        <v>0.840972222222222</v>
      </c>
      <c r="CN44" s="1" t="str">
        <f aca="false">"[""" &amp; CK44 &amp; """, """ &amp; IF(CL44="","",TEXT(CL44,"h:mm")) &amp; """, """ &amp; IF(CM44="","",TEXT(CM44,"h:mm")) &amp; """],"</f>
        <v>["菱浦", "20:09", "20:11"],</v>
      </c>
      <c r="CO44" s="18" t="n">
        <f aca="false">IF(AND(LEN(CL44)&lt;&gt;0,LEN(CM44)&lt;&gt;0),((HOUR(CM44)*60)+MINUTE(CM44))-((HOUR(CL44)*60)+MINUTE(CL44)),"")</f>
        <v>2</v>
      </c>
      <c r="CP44" s="19" t="s">
        <v>30</v>
      </c>
      <c r="CQ44" s="19" t="n">
        <v>0.839583333333333</v>
      </c>
      <c r="CR44" s="19" t="n">
        <v>0.840972222222222</v>
      </c>
      <c r="CS44" s="1" t="str">
        <f aca="false">"[""" &amp; CP44 &amp; """, """ &amp; IF(CQ44="","",TEXT(CQ44,"h:mm")) &amp; """, """ &amp; IF(CR44="","",TEXT(CR44,"h:mm")) &amp; """],"</f>
        <v>["菱浦", "20:09", "20:11"],</v>
      </c>
      <c r="CT44" s="18" t="n">
        <f aca="false">IF(AND(LEN(CQ44)&lt;&gt;0,LEN(CR44)&lt;&gt;0),((HOUR(CR44)*60)+MINUTE(CR44))-((HOUR(CQ44)*60)+MINUTE(CQ44)),"")</f>
        <v>2</v>
      </c>
      <c r="CZ44" s="20"/>
      <c r="DA44" s="20"/>
      <c r="DB44" s="20"/>
      <c r="DD44" s="18"/>
      <c r="DE44" s="20"/>
      <c r="DF44" s="20"/>
      <c r="DG44" s="20"/>
      <c r="DI44" s="18"/>
    </row>
    <row r="45" customFormat="false" ht="18" hidden="false" customHeight="false" outlineLevel="0" collapsed="false">
      <c r="CK45" s="21" t="s">
        <v>31</v>
      </c>
      <c r="CL45" s="22" t="n">
        <v>0.854861111111111</v>
      </c>
      <c r="CM45" s="22" t="n">
        <v>0.85625</v>
      </c>
      <c r="CN45" s="1" t="str">
        <f aca="false">"[""" &amp; CK45 &amp; """, """ &amp; IF(CL45="","",TEXT(CL45,"h:mm")) &amp; """, """ &amp; IF(CM45="","",TEXT(CM45,"h:mm")) &amp; """],"</f>
        <v>["来居", "20:31", "20:33"],</v>
      </c>
      <c r="CO45" s="18" t="n">
        <f aca="false">IF(AND(LEN(CL45)&lt;&gt;0,LEN(CM45)&lt;&gt;0),((HOUR(CM45)*60)+MINUTE(CM45))-((HOUR(CL45)*60)+MINUTE(CL45)),"")</f>
        <v>2</v>
      </c>
      <c r="CP45" s="21" t="s">
        <v>31</v>
      </c>
      <c r="CQ45" s="22" t="n">
        <v>0.854861111111111</v>
      </c>
      <c r="CR45" s="22" t="n">
        <v>0.85625</v>
      </c>
      <c r="CS45" s="1" t="str">
        <f aca="false">"[""" &amp; CP45 &amp; """, """ &amp; IF(CQ45="","",TEXT(CQ45,"h:mm")) &amp; """, """ &amp; IF(CR45="","",TEXT(CR45,"h:mm")) &amp; """],"</f>
        <v>["来居", "20:31", "20:33"],</v>
      </c>
      <c r="CT45" s="18" t="n">
        <f aca="false">IF(AND(LEN(CQ45)&lt;&gt;0,LEN(CR45)&lt;&gt;0),((HOUR(CR45)*60)+MINUTE(CR45))-((HOUR(CQ45)*60)+MINUTE(CQ45)),"")</f>
        <v>2</v>
      </c>
      <c r="CZ45" s="21"/>
      <c r="DA45" s="22"/>
      <c r="DB45" s="22"/>
      <c r="DD45" s="18"/>
      <c r="DE45" s="21"/>
      <c r="DF45" s="22"/>
      <c r="DG45" s="22"/>
      <c r="DI45" s="18"/>
    </row>
    <row r="46" customFormat="false" ht="18" hidden="false" customHeight="false" outlineLevel="0" collapsed="false">
      <c r="CK46" s="19" t="s">
        <v>30</v>
      </c>
      <c r="CL46" s="19" t="n">
        <v>0.870138888888889</v>
      </c>
      <c r="CM46" s="19" t="n">
        <v>0.871527777777778</v>
      </c>
      <c r="CN46" s="1" t="str">
        <f aca="false">"[""" &amp; CK46 &amp; """, """ &amp; IF(CL46="","",TEXT(CL46,"h:mm")) &amp; """, """ &amp; IF(CM46="","",TEXT(CM46,"h:mm")) &amp; """],"</f>
        <v>["菱浦", "20:53", "20:55"],</v>
      </c>
      <c r="CO46" s="18" t="n">
        <f aca="false">IF(AND(LEN(CL46)&lt;&gt;0,LEN(CM46)&lt;&gt;0),((HOUR(CM46)*60)+MINUTE(CM46))-((HOUR(CL46)*60)+MINUTE(CL46)),"")</f>
        <v>2</v>
      </c>
      <c r="CP46" s="19" t="s">
        <v>30</v>
      </c>
      <c r="CQ46" s="19" t="n">
        <v>0.870138888888889</v>
      </c>
      <c r="CR46" s="19" t="n">
        <v>0.871527777777778</v>
      </c>
      <c r="CS46" s="1" t="str">
        <f aca="false">"[""" &amp; CP46 &amp; """, """ &amp; IF(CQ46="","",TEXT(CQ46,"h:mm")) &amp; """, """ &amp; IF(CR46="","",TEXT(CR46,"h:mm")) &amp; """],"</f>
        <v>["菱浦", "20:53", "20:55"],</v>
      </c>
      <c r="CT46" s="18" t="n">
        <f aca="false">IF(AND(LEN(CQ46)&lt;&gt;0,LEN(CR46)&lt;&gt;0),((HOUR(CR46)*60)+MINUTE(CR46))-((HOUR(CQ46)*60)+MINUTE(CQ46)),"")</f>
        <v>2</v>
      </c>
      <c r="CZ46" s="19"/>
      <c r="DA46" s="19"/>
      <c r="DB46" s="19"/>
      <c r="DD46" s="18"/>
      <c r="DE46" s="19"/>
      <c r="DF46" s="19"/>
      <c r="DG46" s="19"/>
      <c r="DI46" s="18"/>
    </row>
    <row r="47" customFormat="false" ht="18" hidden="false" customHeight="false" outlineLevel="0" collapsed="false">
      <c r="CK47" s="20" t="s">
        <v>29</v>
      </c>
      <c r="CL47" s="20" t="n">
        <v>0.877083333333333</v>
      </c>
      <c r="CM47" s="20" t="n">
        <v>0.878472222222222</v>
      </c>
      <c r="CN47" s="1" t="str">
        <f aca="false">"[""" &amp; CK47 &amp; """, """ &amp; IF(CL47="","",TEXT(CL47,"h:mm")) &amp; """, """ &amp; IF(CM47="","",TEXT(CM47,"h:mm")) &amp; """],"</f>
        <v>["別府", "21:03", "21:05"],</v>
      </c>
      <c r="CO47" s="18" t="n">
        <f aca="false">IF(AND(LEN(CL47)&lt;&gt;0,LEN(CM47)&lt;&gt;0),((HOUR(CM47)*60)+MINUTE(CM47))-((HOUR(CL47)*60)+MINUTE(CL47)),"")</f>
        <v>2</v>
      </c>
      <c r="CP47" s="20" t="s">
        <v>29</v>
      </c>
      <c r="CQ47" s="20" t="n">
        <v>0.877083333333333</v>
      </c>
      <c r="CR47" s="20" t="n">
        <v>0.878472222222222</v>
      </c>
      <c r="CS47" s="1" t="str">
        <f aca="false">"[""" &amp; CP47 &amp; """, """ &amp; IF(CQ47="","",TEXT(CQ47,"h:mm")) &amp; """, """ &amp; IF(CR47="","",TEXT(CR47,"h:mm")) &amp; """],"</f>
        <v>["別府", "21:03", "21:05"],</v>
      </c>
      <c r="CT47" s="18" t="n">
        <f aca="false">IF(AND(LEN(CQ47)&lt;&gt;0,LEN(CR47)&lt;&gt;0),((HOUR(CR47)*60)+MINUTE(CR47))-((HOUR(CQ47)*60)+MINUTE(CQ47)),"")</f>
        <v>2</v>
      </c>
      <c r="CZ47" s="19"/>
      <c r="DA47" s="19"/>
      <c r="DB47" s="19"/>
      <c r="DD47" s="18"/>
      <c r="DE47" s="19"/>
      <c r="DF47" s="19"/>
      <c r="DG47" s="19"/>
      <c r="DI47" s="18"/>
    </row>
    <row r="48" customFormat="false" ht="18" hidden="false" customHeight="false" outlineLevel="0" collapsed="false">
      <c r="CK48" s="19" t="s">
        <v>30</v>
      </c>
      <c r="CL48" s="19" t="n">
        <v>0.884027777777778</v>
      </c>
      <c r="CM48" s="19" t="n">
        <v>0.885416666666667</v>
      </c>
      <c r="CN48" s="1" t="str">
        <f aca="false">"[""" &amp; CK48 &amp; """, """ &amp; IF(CL48="","",TEXT(CL48,"h:mm")) &amp; """, """ &amp; IF(CM48="","",TEXT(CM48,"h:mm")) &amp; """],"</f>
        <v>["菱浦", "21:13", "21:15"],</v>
      </c>
      <c r="CO48" s="18" t="n">
        <f aca="false">IF(AND(LEN(CL48)&lt;&gt;0,LEN(CM48)&lt;&gt;0),((HOUR(CM48)*60)+MINUTE(CM48))-((HOUR(CL48)*60)+MINUTE(CL48)),"")</f>
        <v>2</v>
      </c>
      <c r="CP48" s="19" t="s">
        <v>30</v>
      </c>
      <c r="CQ48" s="19" t="n">
        <v>0.884027777777778</v>
      </c>
      <c r="CR48" s="19" t="n">
        <v>0.885416666666667</v>
      </c>
      <c r="CS48" s="1" t="str">
        <f aca="false">"[""" &amp; CP48 &amp; """, """ &amp; IF(CQ48="","",TEXT(CQ48,"h:mm")) &amp; """, """ &amp; IF(CR48="","",TEXT(CR48,"h:mm")) &amp; """],"</f>
        <v>["菱浦", "21:13", "21:15"],</v>
      </c>
      <c r="CT48" s="18" t="n">
        <f aca="false">IF(AND(LEN(CQ48)&lt;&gt;0,LEN(CR48)&lt;&gt;0),((HOUR(CR48)*60)+MINUTE(CR48))-((HOUR(CQ48)*60)+MINUTE(CQ48)),"")</f>
        <v>2</v>
      </c>
      <c r="CZ48" s="21"/>
      <c r="DA48" s="22"/>
      <c r="DB48" s="22"/>
      <c r="DD48" s="18"/>
      <c r="DE48" s="21"/>
      <c r="DF48" s="22"/>
      <c r="DG48" s="22"/>
      <c r="DI48" s="18"/>
    </row>
    <row r="49" customFormat="false" ht="18" hidden="false" customHeight="false" outlineLevel="0" collapsed="false">
      <c r="CK49" s="21" t="s">
        <v>31</v>
      </c>
      <c r="CL49" s="22" t="n">
        <v>0.899305555555556</v>
      </c>
      <c r="CM49" s="22" t="n">
        <v>0.900694444444445</v>
      </c>
      <c r="CN49" s="1" t="str">
        <f aca="false">"[""" &amp; CK49 &amp; """, """ &amp; IF(CL49="","",TEXT(CL49,"h:mm")) &amp; """, """ &amp; IF(CM49="","",TEXT(CM49,"h:mm")) &amp; """],"</f>
        <v>["来居", "21:35", "21:37"],</v>
      </c>
      <c r="CO49" s="18" t="n">
        <f aca="false">IF(AND(LEN(CL49)&lt;&gt;0,LEN(CM49)&lt;&gt;0),((HOUR(CM49)*60)+MINUTE(CM49))-((HOUR(CL49)*60)+MINUTE(CL49)),"")</f>
        <v>2</v>
      </c>
      <c r="CP49" s="21" t="s">
        <v>31</v>
      </c>
      <c r="CQ49" s="22" t="n">
        <v>0.899305555555556</v>
      </c>
      <c r="CR49" s="22" t="n">
        <v>0.900694444444445</v>
      </c>
      <c r="CS49" s="1" t="str">
        <f aca="false">"[""" &amp; CP49 &amp; """, """ &amp; IF(CQ49="","",TEXT(CQ49,"h:mm")) &amp; """, """ &amp; IF(CR49="","",TEXT(CR49,"h:mm")) &amp; """],"</f>
        <v>["来居", "21:35", "21:37"],</v>
      </c>
      <c r="CT49" s="18" t="n">
        <f aca="false">IF(AND(LEN(CQ49)&lt;&gt;0,LEN(CR49)&lt;&gt;0),((HOUR(CR49)*60)+MINUTE(CR49))-((HOUR(CQ49)*60)+MINUTE(CQ49)),"")</f>
        <v>2</v>
      </c>
      <c r="CZ49" s="21"/>
      <c r="DA49" s="22"/>
      <c r="DB49" s="22"/>
      <c r="DD49" s="18"/>
      <c r="DE49" s="21"/>
      <c r="DF49" s="22"/>
      <c r="DG49" s="22"/>
      <c r="DI49" s="18"/>
    </row>
    <row r="50" customFormat="false" ht="18" hidden="false" customHeight="false" outlineLevel="0" collapsed="false">
      <c r="CK50" s="19" t="s">
        <v>30</v>
      </c>
      <c r="CL50" s="19" t="n">
        <v>0.914583333333333</v>
      </c>
      <c r="CM50" s="19" t="n">
        <v>0.915972222222222</v>
      </c>
      <c r="CN50" s="1" t="str">
        <f aca="false">"[""" &amp; CK50 &amp; """, """ &amp; IF(CL50="","",TEXT(CL50,"h:mm")) &amp; """, """ &amp; IF(CM50="","",TEXT(CM50,"h:mm")) &amp; """],"</f>
        <v>["菱浦", "21:57", "21:59"],</v>
      </c>
      <c r="CO50" s="18" t="n">
        <f aca="false">IF(AND(LEN(CL50)&lt;&gt;0,LEN(CM50)&lt;&gt;0),((HOUR(CM50)*60)+MINUTE(CM50))-((HOUR(CL50)*60)+MINUTE(CL50)),"")</f>
        <v>2</v>
      </c>
      <c r="CP50" s="19" t="s">
        <v>30</v>
      </c>
      <c r="CQ50" s="19" t="n">
        <v>0.914583333333333</v>
      </c>
      <c r="CR50" s="19" t="n">
        <v>0.915972222222222</v>
      </c>
      <c r="CS50" s="1" t="str">
        <f aca="false">"[""" &amp; CP50 &amp; """, """ &amp; IF(CQ50="","",TEXT(CQ50,"h:mm")) &amp; """, """ &amp; IF(CR50="","",TEXT(CR50,"h:mm")) &amp; """],"</f>
        <v>["菱浦", "21:57", "21:59"],</v>
      </c>
      <c r="CT50" s="18" t="n">
        <f aca="false">IF(AND(LEN(CQ50)&lt;&gt;0,LEN(CR50)&lt;&gt;0),((HOUR(CR50)*60)+MINUTE(CR50))-((HOUR(CQ50)*60)+MINUTE(CQ50)),"")</f>
        <v>2</v>
      </c>
      <c r="CZ50" s="19"/>
      <c r="DA50" s="19"/>
      <c r="DB50" s="19"/>
      <c r="DD50" s="18"/>
      <c r="DE50" s="19"/>
      <c r="DF50" s="19"/>
      <c r="DG50" s="19"/>
      <c r="DI50" s="18"/>
    </row>
    <row r="51" customFormat="false" ht="18" hidden="false" customHeight="false" outlineLevel="0" collapsed="false">
      <c r="CK51" s="20" t="s">
        <v>29</v>
      </c>
      <c r="CL51" s="20" t="n">
        <v>0.921527777777778</v>
      </c>
      <c r="CN51" s="1" t="str">
        <f aca="false">"[""" &amp; CK51 &amp; """, """ &amp; IF(CL51="","",TEXT(CL51,"h:mm")) &amp; """, """ &amp; IF(CM51="","",TEXT(CM51,"h:mm")) &amp; """]"</f>
        <v>["別府", "22:07", ""]</v>
      </c>
      <c r="CO51" s="18" t="str">
        <f aca="false">IF(AND(LEN(CL51)&lt;&gt;0,LEN(CM51)&lt;&gt;0),((HOUR(CM51)*60)+MINUTE(CM51))-((HOUR(CL51)*60)+MINUTE(CL51)),"")</f>
        <v/>
      </c>
      <c r="CP51" s="20" t="s">
        <v>29</v>
      </c>
      <c r="CQ51" s="20" t="n">
        <v>0.921527777777778</v>
      </c>
      <c r="CS51" s="1" t="str">
        <f aca="false">"[""" &amp; CP51 &amp; """, """ &amp; IF(CQ51="","",TEXT(CQ51,"h:mm")) &amp; """, """ &amp; IF(CR51="","",TEXT(CR51,"h:mm")) &amp; """]"</f>
        <v>["別府", "22:07", ""]</v>
      </c>
      <c r="CT51" s="18" t="str">
        <f aca="false">IF(AND(LEN(CQ51)&lt;&gt;0,LEN(CR51)&lt;&gt;0),((HOUR(CR51)*60)+MINUTE(CR51))-((HOUR(CQ51)*60)+MINUTE(CQ51)),"")</f>
        <v/>
      </c>
      <c r="CZ51" s="19"/>
      <c r="DA51" s="19"/>
      <c r="DB51" s="19"/>
      <c r="DD51" s="18"/>
      <c r="DE51" s="19"/>
      <c r="DF51" s="19"/>
      <c r="DG51" s="19"/>
      <c r="DI51" s="18"/>
    </row>
    <row r="52" customFormat="false" ht="18" hidden="false" customHeight="false" outlineLevel="0" collapsed="false">
      <c r="CN52" s="1" t="s">
        <v>33</v>
      </c>
      <c r="CO52" s="18" t="str">
        <f aca="false">IF(AND(LEN(CL52)&lt;&gt;0,LEN(CM52)&lt;&gt;0),((HOUR(CM52)*60)+MINUTE(CM52))-((HOUR(CL52)*60)+MINUTE(CL52)),"")</f>
        <v/>
      </c>
      <c r="CS52" s="1" t="s">
        <v>33</v>
      </c>
      <c r="CT52" s="18" t="str">
        <f aca="false">IF(AND(LEN(CQ52)&lt;&gt;0,LEN(CR52)&lt;&gt;0),((HOUR(CR52)*60)+MINUTE(CR52))-((HOUR(CQ52)*60)+MINUTE(CQ52)),"")</f>
        <v/>
      </c>
      <c r="CZ52" s="21"/>
      <c r="DA52" s="22"/>
      <c r="DB52" s="22"/>
      <c r="DD52" s="18"/>
      <c r="DE52" s="21"/>
      <c r="DF52" s="22"/>
      <c r="DG52" s="22"/>
      <c r="DI52" s="18"/>
    </row>
  </sheetData>
  <mergeCells count="66">
    <mergeCell ref="B2:D2"/>
    <mergeCell ref="G2:I2"/>
    <mergeCell ref="L2:N2"/>
    <mergeCell ref="Q2:S2"/>
    <mergeCell ref="V2:X2"/>
    <mergeCell ref="AA2:AC2"/>
    <mergeCell ref="AF2:AH2"/>
    <mergeCell ref="AK2:AM2"/>
    <mergeCell ref="AQ2:AS2"/>
    <mergeCell ref="AV2:AX2"/>
    <mergeCell ref="BA2:BC2"/>
    <mergeCell ref="BF2:BH2"/>
    <mergeCell ref="BK2:BM2"/>
    <mergeCell ref="BQ2:BS2"/>
    <mergeCell ref="BV2:BX2"/>
    <mergeCell ref="CA2:CC2"/>
    <mergeCell ref="CG2:CI2"/>
    <mergeCell ref="CL2:CN2"/>
    <mergeCell ref="CQ2:CS2"/>
    <mergeCell ref="CV2:CX2"/>
    <mergeCell ref="DA2:DC2"/>
    <mergeCell ref="DF2:DH2"/>
    <mergeCell ref="A3:B3"/>
    <mergeCell ref="C3:D3"/>
    <mergeCell ref="F3:G3"/>
    <mergeCell ref="H3:I3"/>
    <mergeCell ref="K3:L3"/>
    <mergeCell ref="M3:N3"/>
    <mergeCell ref="P3:Q3"/>
    <mergeCell ref="R3:S3"/>
    <mergeCell ref="U3:V3"/>
    <mergeCell ref="W3:X3"/>
    <mergeCell ref="Z3:AA3"/>
    <mergeCell ref="AB3:AC3"/>
    <mergeCell ref="AE3:AF3"/>
    <mergeCell ref="AG3:AH3"/>
    <mergeCell ref="AJ3:AK3"/>
    <mergeCell ref="AL3:AM3"/>
    <mergeCell ref="AP3:AQ3"/>
    <mergeCell ref="AR3:AS3"/>
    <mergeCell ref="AU3:AV3"/>
    <mergeCell ref="AW3:AX3"/>
    <mergeCell ref="AZ3:BA3"/>
    <mergeCell ref="BB3:BC3"/>
    <mergeCell ref="BE3:BF3"/>
    <mergeCell ref="BG3:BH3"/>
    <mergeCell ref="BJ3:BK3"/>
    <mergeCell ref="BL3:BM3"/>
    <mergeCell ref="BP3:BQ3"/>
    <mergeCell ref="BR3:BS3"/>
    <mergeCell ref="BU3:BV3"/>
    <mergeCell ref="BW3:BX3"/>
    <mergeCell ref="BZ3:CA3"/>
    <mergeCell ref="CB3:CC3"/>
    <mergeCell ref="CF3:CG3"/>
    <mergeCell ref="CH3:CI3"/>
    <mergeCell ref="CK3:CL3"/>
    <mergeCell ref="CM3:CN3"/>
    <mergeCell ref="CP3:CQ3"/>
    <mergeCell ref="CR3:CS3"/>
    <mergeCell ref="CU3:CV3"/>
    <mergeCell ref="CW3:CX3"/>
    <mergeCell ref="CZ3:DA3"/>
    <mergeCell ref="DB3:DC3"/>
    <mergeCell ref="DE3:DF3"/>
    <mergeCell ref="DG3:D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C518B352-A89B-4CFD-8948-F0D8E1949A72}">
            <xm:f>NOT(ISERROR(SEARCH($A$1-2,A1)))</xm:f>
            <xm:f>$A$1-2</xm:f>
            <x14:dxf>
              <font>
                <color rgb="00FFFFFF"/>
              </font>
              <fill>
                <patternFill>
                  <bgColor rgb="FFFF0000"/>
                </patternFill>
              </fill>
            </x14:dxf>
          </x14:cfRule>
          <x14:cfRule type="containsText" priority="3" operator="containsText" id="{CD4C7BDB-38BE-405C-9ED3-778E9C70FD49}">
            <xm:f>NOT(ISERROR(SEARCH($A$1-1,A1)))</xm:f>
            <xm:f>$A$1-1</xm:f>
            <x14:dxf>
              <font>
                <color rgb="FFC00000"/>
              </font>
            </x14:dxf>
          </x14:cfRule>
          <xm:sqref>1:1048576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ja-JP</dc:language>
  <cp:lastModifiedBy/>
  <dcterms:modified xsi:type="dcterms:W3CDTF">2026-06-11T12:54:59Z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